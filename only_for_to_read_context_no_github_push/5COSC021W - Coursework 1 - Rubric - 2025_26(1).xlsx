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-of-Westminster\2025-2026\SEM-2\Software-Development-Group-Project\25_26\New-One\Modified-Course-work\Updated\Final-One\Course-Work-Rubrics\"/>
    </mc:Choice>
  </mc:AlternateContent>
  <xr:revisionPtr revIDLastSave="0" documentId="13_ncr:1_{2557E50C-E2E9-4CCB-BD2D-8FEA793E9925}" xr6:coauthVersionLast="47" xr6:coauthVersionMax="47" xr10:uidLastSave="{00000000-0000-0000-0000-000000000000}"/>
  <bookViews>
    <workbookView xWindow="-108" yWindow="-108" windowWidth="23256" windowHeight="12456" xr2:uid="{96223806-BB47-4008-B3A0-362CD9E930A5}"/>
  </bookViews>
  <sheets>
    <sheet name="Marking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1" l="1"/>
  <c r="G18" i="1"/>
  <c r="G35" i="1" l="1"/>
  <c r="G30" i="1"/>
  <c r="G54" i="1"/>
  <c r="G49" i="1"/>
  <c r="G44" i="1"/>
  <c r="G25" i="1"/>
  <c r="G55" i="1" l="1"/>
  <c r="G59" i="1" l="1"/>
</calcChain>
</file>

<file path=xl/sharedStrings.xml><?xml version="1.0" encoding="utf-8"?>
<sst xmlns="http://schemas.openxmlformats.org/spreadsheetml/2006/main" count="205" uniqueCount="139">
  <si>
    <t>Coursework 1 - Rubric</t>
  </si>
  <si>
    <t>Criteria</t>
  </si>
  <si>
    <t>No real attempt. Submission is devoid of any meaningful material.</t>
  </si>
  <si>
    <t>0 points</t>
  </si>
  <si>
    <t>1-2 points</t>
  </si>
  <si>
    <t>3-4 points</t>
  </si>
  <si>
    <t>Use case test plans [10 points]</t>
  </si>
  <si>
    <t xml:space="preserve">Individual  Elements </t>
  </si>
  <si>
    <t xml:space="preserve">Group  Elements </t>
  </si>
  <si>
    <t>Professional Conduct [Feedback giving &amp; receiving]  [10 Points]</t>
  </si>
  <si>
    <t>Time Management [10 points]</t>
  </si>
  <si>
    <t>Student Name:</t>
  </si>
  <si>
    <t xml:space="preserve">Student  id: </t>
  </si>
  <si>
    <t xml:space="preserve">Project Group: </t>
  </si>
  <si>
    <t>Student Attended Viva: yes/no?</t>
  </si>
  <si>
    <t xml:space="preserve">Marker 's name: </t>
  </si>
  <si>
    <t>Entities</t>
  </si>
  <si>
    <t>Attributes</t>
  </si>
  <si>
    <t>1 point</t>
  </si>
  <si>
    <t>2 points</t>
  </si>
  <si>
    <t>3 points</t>
  </si>
  <si>
    <t>4 points</t>
  </si>
  <si>
    <t>Points Awarded</t>
  </si>
  <si>
    <t>Additional Comments</t>
  </si>
  <si>
    <t xml:space="preserve">All relationships between entities are well described </t>
  </si>
  <si>
    <t>Actors</t>
  </si>
  <si>
    <t>Uses cases</t>
  </si>
  <si>
    <t>Associations and relationships</t>
  </si>
  <si>
    <t>Many associations between actors and uses cases are not correct or are missing and /or many relationships in  use cases are missing or are incorrectly drawn</t>
  </si>
  <si>
    <t xml:space="preserve">All associations between actors and uses cases are clear. Generalisation relationships are applied where appropriate. Relationships used in uses cases are clear and correct. Include/extend relationships are correctly used </t>
  </si>
  <si>
    <t>All associations between actors and use cases are correct. A few relationships in uses cases may be wrong and /or are incorrectly drawn. Some clear generalisation are not drawn.</t>
  </si>
  <si>
    <t>Total - Use case diagrams</t>
  </si>
  <si>
    <t>Total - Test plans</t>
  </si>
  <si>
    <t xml:space="preserve">Most plans (at least 75%)  of the the core and complex functionalities are present </t>
  </si>
  <si>
    <t>Test plans present</t>
  </si>
  <si>
    <t xml:space="preserve">Elements of test plans </t>
  </si>
  <si>
    <t>In most of the test cases the input is not well thought out</t>
  </si>
  <si>
    <t>Input in test case plans</t>
  </si>
  <si>
    <t>All elements of test plans are available (user requirement, use case, pre-condition, post-condition, test input, expected results) - no flaws</t>
  </si>
  <si>
    <t>Only in half of the cases the input is well thought out</t>
  </si>
  <si>
    <t xml:space="preserve"> In 75% of the cases the input is well thought out</t>
  </si>
  <si>
    <t>Very well thought out input for each of the test cases - no flaws</t>
  </si>
  <si>
    <t>Justification of feedback/ how it was used</t>
  </si>
  <si>
    <t>Timeframe and clarity</t>
  </si>
  <si>
    <t>The feedback decribed covered most period of cwk 1 (75%) and/ or  it was not always clear to whom it was given</t>
  </si>
  <si>
    <t>The feedback decribed covered all period of cwk 1 and it was clear to whom it was given - no flaws</t>
  </si>
  <si>
    <t>The feedback decribed covered half of the period of cwk 1 (50%) and/ or  it was not always clear to whom it was given</t>
  </si>
  <si>
    <t>Total - Feedback</t>
  </si>
  <si>
    <t>Critical reflection on approach and outcome</t>
  </si>
  <si>
    <t xml:space="preserve">Total - Time Management </t>
  </si>
  <si>
    <t>Your description of your time plan included a very good critical reflection of your approach and that of the group.</t>
  </si>
  <si>
    <t>1 points</t>
  </si>
  <si>
    <t>Total marks for CWK 1</t>
  </si>
  <si>
    <t>Overall Comments</t>
  </si>
  <si>
    <t>Your description of your time plan has little critical /reflective elements.</t>
  </si>
  <si>
    <t>Your description of your time plan some critical /reflective elements.</t>
  </si>
  <si>
    <t xml:space="preserve">Only a few plans  of the core and/or complex functionalities are present </t>
  </si>
  <si>
    <t>Test plans for all the core and complex functionalities are present</t>
  </si>
  <si>
    <t xml:space="preserve">Most elements of test plans are available  - at least 75% of (user requirement, use case, pre-condition, post-condition, test input, expected results) </t>
  </si>
  <si>
    <t xml:space="preserve">No real attempt. Submission is devoid of any meaningful material </t>
  </si>
  <si>
    <t xml:space="preserve">The feedback described was very concise and clear ( more than 7 instances descibed) </t>
  </si>
  <si>
    <t>Very good justification given for at least one third  of the cases (30%) (on issues feedback given was trying to address and on how feedback received was acted on).</t>
  </si>
  <si>
    <t>Very good justification given for most of the  cases (over 75%) (on issues feedback given was trying to address and on how feedback received was acted on).</t>
  </si>
  <si>
    <t>Very good justification given (on issues feedback given was trying to address and on how feedback received was acted on).</t>
  </si>
  <si>
    <t>The feedback decribed covered short periods of cwk 1 and/ or  it was not always clear to whom it was given</t>
  </si>
  <si>
    <t>Relationships (in terms of multiplicity/name)</t>
  </si>
  <si>
    <t xml:space="preserve">All the entities are present </t>
  </si>
  <si>
    <t>All the attributes for the entities are present. All PK and FK are correctly identified</t>
  </si>
  <si>
    <t>Most entities are present (at least 80%) (3 points up to 60%, 4 points up to 80%)</t>
  </si>
  <si>
    <t>5 points</t>
  </si>
  <si>
    <t xml:space="preserve">Less than half of the attributes are present (1 point for up  20%, 2 points for up to 40%)   or PK/FK have not been identified or are incorrect  </t>
  </si>
  <si>
    <t xml:space="preserve">Less than half of the entities are present (1 point for up  20%, 2 points for up to 40%)  or  are not clearly linked to the application </t>
  </si>
  <si>
    <t>Most attributes  are present (at least 80%) (3 points up to 60%, 4 points up to 80%) or  Many PK/FK may not have been identified or are incorrect</t>
  </si>
  <si>
    <t>6 points</t>
  </si>
  <si>
    <t xml:space="preserve">Less than half of the relationships   (1 point for up  20%, 2 points for up to 40%)  are appropriately described </t>
  </si>
  <si>
    <t xml:space="preserve">Most relationships (at least 80%) (3 points up to 60%, 4 points up to 80%) are well described </t>
  </si>
  <si>
    <r>
      <t xml:space="preserve">Colour consideration is poor </t>
    </r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 xml:space="preserve">not consistent across pages for the entire application </t>
    </r>
  </si>
  <si>
    <r>
      <t xml:space="preserve">Colour consideration is either poor </t>
    </r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 xml:space="preserve">not consitent across pages for the entire application </t>
    </r>
  </si>
  <si>
    <t xml:space="preserve">Less than half of the pages  include appropriate components (menus, search, text fields, buttons) in the design (1 point for up  20%, 2 points for up to 40%) </t>
  </si>
  <si>
    <t xml:space="preserve">Most pages  include appropriate components (menus, search, text fields, buttons) in the design  (3 point for up  60%, 4 points for up to 80%) </t>
  </si>
  <si>
    <t xml:space="preserve">All pages  include appropriate components (menus, search, text fields, buttons) in the design </t>
  </si>
  <si>
    <t xml:space="preserve">Total  - User Experience </t>
  </si>
  <si>
    <t xml:space="preserve">Less than half of the use-cases are described (1 point for up  20%, 2 points for up to 40%) or important use cases are missing that describe the user requirements functionality of the system as given by the client </t>
  </si>
  <si>
    <t>Most  of the use-cases are described (3 point for up  60%, 4 points for up to 80%) or all use cases are described but the ones that will be implemented (prioritised) are not specified</t>
  </si>
  <si>
    <t>Description of Feedback (Given and received)</t>
  </si>
  <si>
    <t>The feedback described was very concise, clear, and important  but very few described ( 4 or less)</t>
  </si>
  <si>
    <t xml:space="preserve"> Time management techniques applied</t>
  </si>
  <si>
    <t xml:space="preserve">Have shown little effort in describing what  time management technique they used as individuals or that as a group. </t>
  </si>
  <si>
    <t>They have described some basic  time management techniques  for delivering work both as a group and/or as member</t>
  </si>
  <si>
    <t xml:space="preserve">Have presented a good list of time management techniques  for delivering work bit as individual and as  a group </t>
  </si>
  <si>
    <t>The time management techniques described were supported by examples of how they were used and impact they had</t>
  </si>
  <si>
    <t>The time management techniques described were supoorted by examples or impact they had but not both</t>
  </si>
  <si>
    <t>The time management techniques described are not supported by any evidence or impact</t>
  </si>
  <si>
    <t>Evidence of time management techniques through examples and impact</t>
  </si>
  <si>
    <t>Your description of your time plan included a good critical reflection of your approach but  no critical reflection on the group plan</t>
  </si>
  <si>
    <t>Project Management  [10 points]</t>
  </si>
  <si>
    <t>Project management techniques applied</t>
  </si>
  <si>
    <t xml:space="preserve">Have shown little effort in describing what  project management technique they used as individuals or that as a group. </t>
  </si>
  <si>
    <t>They have described some basic  project management techniques  for delivering work both as a group and/or as member</t>
  </si>
  <si>
    <t xml:space="preserve">Have presented a good list of project management techniques  for delivering work bit as individual and as  a group </t>
  </si>
  <si>
    <t>Evidence of project management techniques through examples and impact</t>
  </si>
  <si>
    <t>The project management techniques described are not supported by any evidence or impact</t>
  </si>
  <si>
    <t>The project management techniques described were supoorted by examples or impact they had but not both</t>
  </si>
  <si>
    <t>The project management techniques described were supported by examples of how they were used and impact they had</t>
  </si>
  <si>
    <t>Your description of project management  has little critical /reflective elements.</t>
  </si>
  <si>
    <t>Your description of project management  some critical /reflective elements.</t>
  </si>
  <si>
    <t>Your description of your project management included a good critical reflection of your approach but  no critical reflection on the group plan</t>
  </si>
  <si>
    <t>Your description of your project management  included a very good critical reflection of your approach and that of the group.</t>
  </si>
  <si>
    <t xml:space="preserve">Many elements (50% or more) of test plans are missing: (user requirement, use case,  pre-condition, post-condition, test input, expected results) </t>
  </si>
  <si>
    <t xml:space="preserve">Total Project Management </t>
  </si>
  <si>
    <t>Total Group Element</t>
  </si>
  <si>
    <t>Total Individual Element</t>
  </si>
  <si>
    <t>Most of the  feedback described was not  concise or not on important issues of the cwk. They used quotations rather than explaining the essence</t>
  </si>
  <si>
    <t>All of the use cases are described, and the ones that will be implemented (prioritised) specified.</t>
  </si>
  <si>
    <t>Less than half of the tables   (1 point for up  20%, 2 points for up to 40%)  are appropriately designed</t>
  </si>
  <si>
    <t xml:space="preserve">Most tables  (at least 80%) (3 points up to 60%, 4 points up to 80%) are well designed </t>
  </si>
  <si>
    <t>Total - Logical ERD &amp; Database structure</t>
  </si>
  <si>
    <t>User experience [25 points]</t>
  </si>
  <si>
    <t xml:space="preserve">Less than half of the user stories required are presented in a meaningful storyboard (1 point for up  20%, 2 points for up to 40%) </t>
  </si>
  <si>
    <t xml:space="preserve">Most of the user stories are presented in a miniful stoyrboard  (3 point for up  60%, 4 points for up to 80%) </t>
  </si>
  <si>
    <t>All of the user stories are presented in meaningful storyboards</t>
  </si>
  <si>
    <t>7-8 points</t>
  </si>
  <si>
    <t>Database Structure - tables</t>
  </si>
  <si>
    <t>Database Structure - attributes</t>
  </si>
  <si>
    <t>All required tables are designed well</t>
  </si>
  <si>
    <t xml:space="preserve">All required attribute information  are filled in appriatelly </t>
  </si>
  <si>
    <t xml:space="preserve">Most attribute information  (at least 80%) (3 points up to 60%, 4 points up to 80%) are appropriatelly filled in </t>
  </si>
  <si>
    <t>Less than half of the attribute information   (1 point for up  20%, 2 points for up to 40%)  are appropriately filled in - eg (PK.FK/Type/Null value)</t>
  </si>
  <si>
    <t>Wireframes for login/register and profile setting</t>
  </si>
  <si>
    <t>Storyboards for register/login/profile setting</t>
  </si>
  <si>
    <t>Colour is appropriate for the application and consistent throughout the application, colours/fonts have been identified for CSS file</t>
  </si>
  <si>
    <t>Use case diagrams (UML) [10 points]</t>
  </si>
  <si>
    <t xml:space="preserve">Most actors have been identified, actors are assigned to the right uses cases, actors are positioned on the correct side of the system  - over 70% </t>
  </si>
  <si>
    <t>Few actors are identified, obvious ones are missing and/or actors are positioning on the wrong side of the diagram, and/or not always linked in the right use case ( up  to  70%)</t>
  </si>
  <si>
    <t>5COSC021W  - 2025/26</t>
  </si>
  <si>
    <t>Logical ERDs &amp; Database Structure [25 points]</t>
  </si>
  <si>
    <t>Wireframe for User Dashboard and visualisation</t>
  </si>
  <si>
    <t>Storyboards for User Dashboard/visualisation</t>
  </si>
  <si>
    <t>Mock up of User DashBoard &amp; visualisation - identification of colours /text that will be in CSS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</si>
</sst>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2" tint="-0.89999084444715716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4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/>
    <xf numFmtId="0" fontId="4" fillId="3" borderId="1" xfId="0" applyFont="1" applyFill="1" applyBorder="1" applyAlignment="1">
      <alignment vertical="top" wrapText="1"/>
    </xf>
    <xf numFmtId="0" fontId="0" fillId="3" borderId="1" xfId="0" applyFill="1" applyBorder="1"/>
    <xf numFmtId="0" fontId="2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  <xf numFmtId="0" fontId="5" fillId="4" borderId="1" xfId="0" applyFont="1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wrapText="1"/>
    </xf>
    <xf numFmtId="0" fontId="0" fillId="6" borderId="1" xfId="0" applyFill="1" applyBorder="1" applyAlignment="1">
      <alignment horizontal="left"/>
    </xf>
    <xf numFmtId="0" fontId="0" fillId="6" borderId="1" xfId="0" applyFill="1" applyBorder="1"/>
    <xf numFmtId="0" fontId="2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3" fillId="7" borderId="1" xfId="0" applyFont="1" applyFill="1" applyBorder="1" applyAlignment="1">
      <alignment wrapText="1"/>
    </xf>
    <xf numFmtId="0" fontId="2" fillId="7" borderId="1" xfId="0" applyFont="1" applyFill="1" applyBorder="1" applyAlignment="1">
      <alignment horizontal="left" vertical="top" wrapText="1"/>
    </xf>
    <xf numFmtId="0" fontId="3" fillId="0" borderId="4" xfId="0" applyFont="1" applyBorder="1"/>
    <xf numFmtId="0" fontId="0" fillId="8" borderId="1" xfId="0" applyFill="1" applyBorder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5" fillId="11" borderId="1" xfId="0" applyFont="1" applyFill="1" applyBorder="1" applyAlignment="1">
      <alignment wrapText="1"/>
    </xf>
    <xf numFmtId="0" fontId="0" fillId="11" borderId="1" xfId="0" applyFill="1" applyBorder="1" applyAlignment="1">
      <alignment horizontal="left"/>
    </xf>
    <xf numFmtId="0" fontId="0" fillId="11" borderId="1" xfId="0" applyFill="1" applyBorder="1"/>
    <xf numFmtId="0" fontId="2" fillId="10" borderId="1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vertical="top" wrapText="1"/>
    </xf>
    <xf numFmtId="0" fontId="3" fillId="12" borderId="1" xfId="0" applyFont="1" applyFill="1" applyBorder="1"/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wrapText="1"/>
    </xf>
    <xf numFmtId="0" fontId="6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vertical="center"/>
    </xf>
    <xf numFmtId="0" fontId="0" fillId="13" borderId="1" xfId="0" applyFill="1" applyBorder="1" applyAlignment="1">
      <alignment horizontal="left"/>
    </xf>
    <xf numFmtId="0" fontId="0" fillId="13" borderId="1" xfId="0" applyFill="1" applyBorder="1"/>
    <xf numFmtId="0" fontId="3" fillId="10" borderId="1" xfId="0" applyFont="1" applyFill="1" applyBorder="1"/>
    <xf numFmtId="0" fontId="3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left" vertical="top" wrapText="1"/>
    </xf>
    <xf numFmtId="0" fontId="7" fillId="14" borderId="1" xfId="0" applyFont="1" applyFill="1" applyBorder="1" applyAlignment="1">
      <alignment wrapText="1"/>
    </xf>
    <xf numFmtId="0" fontId="0" fillId="14" borderId="1" xfId="0" applyFill="1" applyBorder="1"/>
    <xf numFmtId="0" fontId="0" fillId="11" borderId="1" xfId="0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vertical="top" wrapText="1"/>
    </xf>
    <xf numFmtId="0" fontId="8" fillId="13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horizontal="left" vertical="top" wrapText="1"/>
    </xf>
    <xf numFmtId="0" fontId="8" fillId="11" borderId="1" xfId="0" applyFont="1" applyFill="1" applyBorder="1" applyAlignment="1">
      <alignment horizontal="left" vertical="top" wrapText="1"/>
    </xf>
    <xf numFmtId="0" fontId="8" fillId="11" borderId="1" xfId="0" applyFont="1" applyFill="1" applyBorder="1" applyAlignment="1">
      <alignment wrapText="1"/>
    </xf>
    <xf numFmtId="0" fontId="8" fillId="11" borderId="1" xfId="0" applyFont="1" applyFill="1" applyBorder="1" applyAlignment="1">
      <alignment vertical="top" wrapText="1"/>
    </xf>
    <xf numFmtId="0" fontId="0" fillId="13" borderId="1" xfId="0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3" fillId="14" borderId="1" xfId="0" applyFont="1" applyFill="1" applyBorder="1" applyAlignment="1">
      <alignment wrapText="1"/>
    </xf>
    <xf numFmtId="0" fontId="2" fillId="14" borderId="1" xfId="0" applyFont="1" applyFill="1" applyBorder="1" applyAlignment="1">
      <alignment horizontal="left" vertical="top" wrapText="1"/>
    </xf>
    <xf numFmtId="0" fontId="0" fillId="14" borderId="1" xfId="0" applyFill="1" applyBorder="1" applyAlignment="1">
      <alignment vertical="top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9900"/>
      <color rgb="FFFFCCFF"/>
      <color rgb="FFFF7C80"/>
      <color rgb="FFCF0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2802-421E-4E12-AFB0-E6DF2493F86B}">
  <dimension ref="A2:J59"/>
  <sheetViews>
    <sheetView tabSelected="1" zoomScale="94" zoomScaleNormal="94" workbookViewId="0">
      <selection activeCell="A24" sqref="A24"/>
    </sheetView>
  </sheetViews>
  <sheetFormatPr defaultRowHeight="14.4" x14ac:dyDescent="0.3"/>
  <cols>
    <col min="1" max="1" width="23.6640625" customWidth="1"/>
    <col min="2" max="2" width="14.77734375" customWidth="1"/>
    <col min="3" max="3" width="18.33203125" customWidth="1"/>
    <col min="4" max="4" width="18.44140625" customWidth="1"/>
    <col min="5" max="5" width="25.21875" customWidth="1"/>
    <col min="6" max="6" width="19.5546875" customWidth="1"/>
    <col min="7" max="7" width="15.6640625" customWidth="1"/>
    <col min="8" max="8" width="55.6640625" customWidth="1"/>
    <col min="9" max="9" width="17.88671875" customWidth="1"/>
    <col min="10" max="10" width="28" customWidth="1"/>
  </cols>
  <sheetData>
    <row r="2" spans="1:10" ht="15.6" x14ac:dyDescent="0.3">
      <c r="A2" s="1" t="s">
        <v>134</v>
      </c>
      <c r="B2" s="1"/>
      <c r="C2" s="1"/>
      <c r="D2" s="1"/>
      <c r="E2" s="1"/>
      <c r="F2" s="1"/>
      <c r="G2" s="1"/>
      <c r="H2" s="1"/>
      <c r="I2" s="1"/>
      <c r="J2" s="1"/>
    </row>
    <row r="3" spans="1:10" ht="15.6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4" spans="1:10" ht="15.6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5.6" x14ac:dyDescent="0.3">
      <c r="A5" s="1" t="s">
        <v>11</v>
      </c>
      <c r="B5" s="1"/>
      <c r="C5" s="1"/>
      <c r="D5" s="1" t="s">
        <v>12</v>
      </c>
      <c r="E5" s="1"/>
      <c r="F5" s="1"/>
      <c r="G5" s="1"/>
      <c r="H5" s="1" t="s">
        <v>13</v>
      </c>
      <c r="I5" s="1"/>
      <c r="J5" s="1"/>
    </row>
    <row r="6" spans="1:10" ht="15.6" x14ac:dyDescent="0.3">
      <c r="A6" s="1" t="s">
        <v>14</v>
      </c>
      <c r="B6" s="1"/>
      <c r="C6" s="1"/>
      <c r="D6" s="1"/>
      <c r="E6" s="1"/>
      <c r="F6" s="1"/>
      <c r="G6" s="1"/>
      <c r="H6" s="1"/>
      <c r="I6" s="1"/>
      <c r="J6" s="1"/>
    </row>
    <row r="7" spans="1:10" ht="15.6" x14ac:dyDescent="0.3">
      <c r="A7" s="1" t="s">
        <v>15</v>
      </c>
      <c r="B7" s="1"/>
      <c r="C7" s="1"/>
      <c r="D7" s="1"/>
      <c r="E7" s="1"/>
      <c r="F7" s="1"/>
      <c r="G7" s="1"/>
      <c r="H7" s="1"/>
      <c r="I7" s="1"/>
      <c r="J7" s="1"/>
    </row>
    <row r="8" spans="1:10" ht="16.2" thickBot="1" x14ac:dyDescent="0.35">
      <c r="B8" s="1"/>
      <c r="C8" s="1"/>
      <c r="D8" s="1"/>
      <c r="E8" s="1"/>
      <c r="F8" s="1"/>
      <c r="G8" s="1"/>
      <c r="H8" s="1"/>
      <c r="I8" s="1"/>
      <c r="J8" s="1"/>
    </row>
    <row r="9" spans="1:10" ht="16.2" thickBot="1" x14ac:dyDescent="0.35">
      <c r="A9" s="2" t="s">
        <v>1</v>
      </c>
      <c r="B9" s="3"/>
      <c r="C9" s="3"/>
      <c r="D9" s="3"/>
      <c r="E9" s="3"/>
      <c r="F9" s="3"/>
      <c r="G9" s="3"/>
      <c r="H9" s="26"/>
      <c r="I9" s="1"/>
      <c r="J9" s="1"/>
    </row>
    <row r="10" spans="1:10" ht="15.6" x14ac:dyDescent="0.3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ht="15.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46.95" customHeight="1" x14ac:dyDescent="0.3">
      <c r="A12" s="9" t="s">
        <v>135</v>
      </c>
      <c r="B12" s="69" t="s">
        <v>3</v>
      </c>
      <c r="C12" s="69" t="s">
        <v>4</v>
      </c>
      <c r="D12" s="69" t="s">
        <v>5</v>
      </c>
      <c r="E12" s="69" t="s">
        <v>69</v>
      </c>
      <c r="F12" s="69" t="s">
        <v>73</v>
      </c>
      <c r="G12" s="10" t="s">
        <v>22</v>
      </c>
      <c r="H12" s="10" t="s">
        <v>23</v>
      </c>
    </row>
    <row r="13" spans="1:10" ht="123.75" customHeight="1" x14ac:dyDescent="0.3">
      <c r="A13" s="9" t="s">
        <v>16</v>
      </c>
      <c r="B13" s="70" t="s">
        <v>2</v>
      </c>
      <c r="C13" s="71" t="s">
        <v>71</v>
      </c>
      <c r="D13" s="71" t="s">
        <v>68</v>
      </c>
      <c r="E13" s="71" t="s">
        <v>66</v>
      </c>
      <c r="F13" s="72"/>
      <c r="G13" s="61"/>
      <c r="H13" s="10"/>
    </row>
    <row r="14" spans="1:10" ht="145.94999999999999" customHeight="1" x14ac:dyDescent="0.3">
      <c r="A14" s="9" t="s">
        <v>17</v>
      </c>
      <c r="B14" s="70" t="s">
        <v>2</v>
      </c>
      <c r="C14" s="71" t="s">
        <v>70</v>
      </c>
      <c r="D14" s="71" t="s">
        <v>72</v>
      </c>
      <c r="E14" s="71" t="s">
        <v>67</v>
      </c>
      <c r="F14" s="72"/>
      <c r="G14" s="61"/>
      <c r="H14" s="10"/>
    </row>
    <row r="15" spans="1:10" ht="145.94999999999999" customHeight="1" x14ac:dyDescent="0.3">
      <c r="A15" s="9" t="s">
        <v>65</v>
      </c>
      <c r="B15" s="70" t="s">
        <v>2</v>
      </c>
      <c r="C15" s="13" t="s">
        <v>74</v>
      </c>
      <c r="D15" s="12" t="s">
        <v>75</v>
      </c>
      <c r="E15" s="12" t="s">
        <v>24</v>
      </c>
      <c r="F15" s="72"/>
      <c r="G15" s="61"/>
      <c r="H15" s="10"/>
    </row>
    <row r="16" spans="1:10" ht="99.75" customHeight="1" x14ac:dyDescent="0.3">
      <c r="A16" s="9" t="s">
        <v>122</v>
      </c>
      <c r="B16" s="70" t="s">
        <v>2</v>
      </c>
      <c r="C16" s="13" t="s">
        <v>114</v>
      </c>
      <c r="D16" s="12" t="s">
        <v>115</v>
      </c>
      <c r="E16" s="12" t="s">
        <v>124</v>
      </c>
      <c r="F16" s="43"/>
      <c r="G16" s="62"/>
      <c r="H16" s="10"/>
    </row>
    <row r="17" spans="1:8" ht="99.75" customHeight="1" x14ac:dyDescent="0.3">
      <c r="A17" s="9" t="s">
        <v>123</v>
      </c>
      <c r="B17" s="70" t="s">
        <v>2</v>
      </c>
      <c r="C17" s="13" t="s">
        <v>127</v>
      </c>
      <c r="D17" s="12" t="s">
        <v>126</v>
      </c>
      <c r="E17" s="12" t="s">
        <v>125</v>
      </c>
      <c r="F17" s="43"/>
      <c r="G17" s="62"/>
      <c r="H17" s="10"/>
    </row>
    <row r="18" spans="1:8" ht="74.25" customHeight="1" x14ac:dyDescent="0.3">
      <c r="A18" s="4" t="s">
        <v>116</v>
      </c>
      <c r="B18" s="5"/>
      <c r="C18" s="6"/>
      <c r="D18" s="7"/>
      <c r="E18" s="7"/>
      <c r="F18" s="8"/>
      <c r="G18" s="63">
        <f>SUM(G13:G17)</f>
        <v>0</v>
      </c>
      <c r="H18" s="7"/>
    </row>
    <row r="19" spans="1:8" ht="31.2" x14ac:dyDescent="0.3">
      <c r="A19" s="14" t="s">
        <v>117</v>
      </c>
      <c r="B19" s="15" t="s">
        <v>3</v>
      </c>
      <c r="C19" s="15" t="s">
        <v>4</v>
      </c>
      <c r="D19" s="15" t="s">
        <v>5</v>
      </c>
      <c r="E19" s="15" t="s">
        <v>69</v>
      </c>
      <c r="F19" s="15" t="s">
        <v>121</v>
      </c>
      <c r="G19" s="15" t="s">
        <v>22</v>
      </c>
      <c r="H19" s="15" t="s">
        <v>23</v>
      </c>
    </row>
    <row r="20" spans="1:8" ht="134.25" customHeight="1" x14ac:dyDescent="0.3">
      <c r="A20" s="14" t="s">
        <v>128</v>
      </c>
      <c r="B20" s="73" t="s">
        <v>2</v>
      </c>
      <c r="C20" s="74" t="s">
        <v>78</v>
      </c>
      <c r="D20" s="74" t="s">
        <v>79</v>
      </c>
      <c r="E20" s="74" t="s">
        <v>80</v>
      </c>
      <c r="F20" s="43"/>
      <c r="G20" s="59"/>
      <c r="H20" s="15"/>
    </row>
    <row r="21" spans="1:8" ht="134.25" customHeight="1" x14ac:dyDescent="0.3">
      <c r="A21" s="14" t="s">
        <v>136</v>
      </c>
      <c r="B21" s="73" t="s">
        <v>2</v>
      </c>
      <c r="C21" s="74" t="s">
        <v>78</v>
      </c>
      <c r="D21" s="74" t="s">
        <v>79</v>
      </c>
      <c r="E21" s="74" t="s">
        <v>80</v>
      </c>
      <c r="F21" s="43"/>
      <c r="G21" s="59"/>
      <c r="H21" s="15"/>
    </row>
    <row r="22" spans="1:8" ht="134.25" customHeight="1" x14ac:dyDescent="0.3">
      <c r="A22" s="14" t="s">
        <v>129</v>
      </c>
      <c r="B22" s="73" t="s">
        <v>2</v>
      </c>
      <c r="C22" s="74" t="s">
        <v>118</v>
      </c>
      <c r="D22" s="74" t="s">
        <v>119</v>
      </c>
      <c r="E22" s="74" t="s">
        <v>120</v>
      </c>
      <c r="F22" s="43"/>
      <c r="G22" s="59"/>
      <c r="H22" s="15"/>
    </row>
    <row r="23" spans="1:8" ht="134.25" customHeight="1" x14ac:dyDescent="0.3">
      <c r="A23" s="14" t="s">
        <v>137</v>
      </c>
      <c r="B23" s="73" t="s">
        <v>2</v>
      </c>
      <c r="C23" s="74" t="s">
        <v>118</v>
      </c>
      <c r="D23" s="74" t="s">
        <v>119</v>
      </c>
      <c r="E23" s="74" t="s">
        <v>120</v>
      </c>
      <c r="F23" s="43"/>
      <c r="G23" s="59"/>
      <c r="H23" s="15"/>
    </row>
    <row r="24" spans="1:8" ht="75" customHeight="1" x14ac:dyDescent="0.3">
      <c r="A24" s="14" t="s">
        <v>138</v>
      </c>
      <c r="B24" s="73" t="s">
        <v>2</v>
      </c>
      <c r="C24" s="16" t="s">
        <v>76</v>
      </c>
      <c r="D24" s="16" t="s">
        <v>77</v>
      </c>
      <c r="E24" s="16" t="s">
        <v>130</v>
      </c>
      <c r="F24" s="43"/>
      <c r="G24" s="59"/>
      <c r="H24" s="15"/>
    </row>
    <row r="25" spans="1:8" ht="85.2" customHeight="1" x14ac:dyDescent="0.3">
      <c r="A25" s="17" t="s">
        <v>81</v>
      </c>
      <c r="B25" s="18"/>
      <c r="C25" s="18"/>
      <c r="D25" s="18"/>
      <c r="E25" s="18"/>
      <c r="F25" s="18"/>
      <c r="G25" s="60">
        <f>SUM(G20:G24)</f>
        <v>0</v>
      </c>
      <c r="H25" s="64"/>
    </row>
    <row r="26" spans="1:8" ht="46.05" customHeight="1" x14ac:dyDescent="0.3">
      <c r="A26" s="19" t="s">
        <v>131</v>
      </c>
      <c r="B26" s="20" t="s">
        <v>3</v>
      </c>
      <c r="C26" s="21" t="s">
        <v>18</v>
      </c>
      <c r="D26" s="21" t="s">
        <v>19</v>
      </c>
      <c r="E26" s="21" t="s">
        <v>5</v>
      </c>
      <c r="F26" s="21" t="s">
        <v>73</v>
      </c>
      <c r="G26" s="20" t="s">
        <v>22</v>
      </c>
      <c r="H26" s="20" t="s">
        <v>23</v>
      </c>
    </row>
    <row r="27" spans="1:8" ht="186.45" customHeight="1" x14ac:dyDescent="0.3">
      <c r="A27" s="19" t="s">
        <v>26</v>
      </c>
      <c r="B27" s="75" t="s">
        <v>2</v>
      </c>
      <c r="C27" s="23" t="s">
        <v>82</v>
      </c>
      <c r="D27" s="23" t="s">
        <v>83</v>
      </c>
      <c r="E27" s="23" t="s">
        <v>113</v>
      </c>
      <c r="F27" s="79"/>
      <c r="G27" s="52"/>
      <c r="H27" s="20"/>
    </row>
    <row r="28" spans="1:8" ht="165.45" customHeight="1" x14ac:dyDescent="0.3">
      <c r="A28" s="19" t="s">
        <v>25</v>
      </c>
      <c r="B28" s="75" t="s">
        <v>2</v>
      </c>
      <c r="C28" s="23" t="s">
        <v>133</v>
      </c>
      <c r="D28" s="23" t="s">
        <v>132</v>
      </c>
      <c r="E28" s="23"/>
      <c r="F28" s="42"/>
      <c r="G28" s="52"/>
      <c r="H28" s="20"/>
    </row>
    <row r="29" spans="1:8" ht="154.5" customHeight="1" x14ac:dyDescent="0.3">
      <c r="A29" s="19" t="s">
        <v>27</v>
      </c>
      <c r="B29" s="75" t="s">
        <v>2</v>
      </c>
      <c r="C29" s="23" t="s">
        <v>28</v>
      </c>
      <c r="D29" s="23" t="s">
        <v>30</v>
      </c>
      <c r="E29" s="23" t="s">
        <v>29</v>
      </c>
      <c r="F29" s="42"/>
      <c r="G29" s="52"/>
      <c r="H29" s="20"/>
    </row>
    <row r="30" spans="1:8" ht="54.75" customHeight="1" x14ac:dyDescent="0.3">
      <c r="A30" s="24" t="s">
        <v>31</v>
      </c>
      <c r="B30" s="25"/>
      <c r="C30" s="25"/>
      <c r="D30" s="25"/>
      <c r="E30" s="25"/>
      <c r="F30" s="25"/>
      <c r="G30" s="53">
        <f>SUM(G27:G29)</f>
        <v>0</v>
      </c>
      <c r="H30" s="65"/>
    </row>
    <row r="31" spans="1:8" ht="80.55" customHeight="1" x14ac:dyDescent="0.3">
      <c r="A31" s="30" t="s">
        <v>6</v>
      </c>
      <c r="B31" s="31" t="s">
        <v>3</v>
      </c>
      <c r="C31" s="32" t="s">
        <v>18</v>
      </c>
      <c r="D31" s="32" t="s">
        <v>19</v>
      </c>
      <c r="E31" s="32" t="s">
        <v>20</v>
      </c>
      <c r="F31" s="32" t="s">
        <v>21</v>
      </c>
      <c r="G31" s="31" t="s">
        <v>22</v>
      </c>
      <c r="H31" s="31" t="s">
        <v>23</v>
      </c>
    </row>
    <row r="32" spans="1:8" ht="80.55" customHeight="1" x14ac:dyDescent="0.3">
      <c r="A32" s="30" t="s">
        <v>34</v>
      </c>
      <c r="B32" s="76" t="s">
        <v>2</v>
      </c>
      <c r="C32" s="77" t="s">
        <v>56</v>
      </c>
      <c r="D32" s="78" t="s">
        <v>33</v>
      </c>
      <c r="E32" s="78" t="s">
        <v>57</v>
      </c>
      <c r="F32" s="43"/>
      <c r="G32" s="57"/>
      <c r="H32" s="31"/>
    </row>
    <row r="33" spans="1:8" ht="129" customHeight="1" x14ac:dyDescent="0.3">
      <c r="A33" s="30" t="s">
        <v>35</v>
      </c>
      <c r="B33" s="76" t="s">
        <v>2</v>
      </c>
      <c r="C33" s="77" t="s">
        <v>108</v>
      </c>
      <c r="D33" s="78" t="s">
        <v>58</v>
      </c>
      <c r="E33" s="78" t="s">
        <v>38</v>
      </c>
      <c r="F33" s="43"/>
      <c r="G33" s="57"/>
      <c r="H33" s="31"/>
    </row>
    <row r="34" spans="1:8" ht="80.55" customHeight="1" x14ac:dyDescent="0.3">
      <c r="A34" s="30" t="s">
        <v>37</v>
      </c>
      <c r="B34" s="34" t="s">
        <v>2</v>
      </c>
      <c r="C34" s="49" t="s">
        <v>36</v>
      </c>
      <c r="D34" s="49" t="s">
        <v>39</v>
      </c>
      <c r="E34" s="49" t="s">
        <v>40</v>
      </c>
      <c r="F34" s="49" t="s">
        <v>41</v>
      </c>
      <c r="G34" s="57"/>
      <c r="H34" s="31"/>
    </row>
    <row r="35" spans="1:8" ht="15.6" x14ac:dyDescent="0.3">
      <c r="A35" s="44" t="s">
        <v>32</v>
      </c>
      <c r="B35" s="33"/>
      <c r="C35" s="33"/>
      <c r="D35" s="33"/>
      <c r="E35" s="33"/>
      <c r="F35" s="33"/>
      <c r="G35" s="58">
        <f>SUM(G32:G34)</f>
        <v>0</v>
      </c>
      <c r="H35" s="67"/>
    </row>
    <row r="36" spans="1:8" ht="63" customHeight="1" x14ac:dyDescent="0.3">
      <c r="A36" s="83" t="s">
        <v>110</v>
      </c>
      <c r="B36" s="84"/>
      <c r="C36" s="84"/>
      <c r="D36" s="84"/>
      <c r="E36" s="84"/>
      <c r="F36" s="84"/>
      <c r="G36" s="86">
        <f>SUM(G18, G25, G30, G35)</f>
        <v>0</v>
      </c>
      <c r="H36" s="87"/>
    </row>
    <row r="37" spans="1:8" x14ac:dyDescent="0.3">
      <c r="G37" s="29"/>
      <c r="H37" s="29"/>
    </row>
    <row r="38" spans="1:8" ht="15.6" x14ac:dyDescent="0.3">
      <c r="A38" s="1" t="s">
        <v>7</v>
      </c>
      <c r="G38" s="28"/>
      <c r="H38" s="28"/>
    </row>
    <row r="39" spans="1:8" ht="17.25" customHeight="1" x14ac:dyDescent="0.3">
      <c r="G39" s="29"/>
      <c r="H39" s="29"/>
    </row>
    <row r="40" spans="1:8" ht="46.8" x14ac:dyDescent="0.3">
      <c r="A40" s="35" t="s">
        <v>9</v>
      </c>
      <c r="B40" s="10" t="s">
        <v>3</v>
      </c>
      <c r="C40" s="10" t="s">
        <v>18</v>
      </c>
      <c r="D40" s="10" t="s">
        <v>19</v>
      </c>
      <c r="E40" s="10" t="s">
        <v>20</v>
      </c>
      <c r="F40" s="10" t="s">
        <v>21</v>
      </c>
      <c r="G40" s="10" t="s">
        <v>22</v>
      </c>
      <c r="H40" s="10" t="s">
        <v>23</v>
      </c>
    </row>
    <row r="41" spans="1:8" ht="189.45" customHeight="1" x14ac:dyDescent="0.3">
      <c r="A41" s="35" t="s">
        <v>84</v>
      </c>
      <c r="B41" s="11" t="s">
        <v>59</v>
      </c>
      <c r="C41" s="13" t="s">
        <v>112</v>
      </c>
      <c r="D41" s="13" t="s">
        <v>85</v>
      </c>
      <c r="E41" s="13" t="s">
        <v>60</v>
      </c>
      <c r="F41" s="43"/>
      <c r="G41" s="50"/>
      <c r="H41" s="11"/>
    </row>
    <row r="42" spans="1:8" ht="158.25" customHeight="1" x14ac:dyDescent="0.3">
      <c r="A42" s="35" t="s">
        <v>42</v>
      </c>
      <c r="B42" s="11" t="s">
        <v>2</v>
      </c>
      <c r="C42" s="13" t="s">
        <v>61</v>
      </c>
      <c r="D42" s="13" t="s">
        <v>62</v>
      </c>
      <c r="E42" s="13" t="s">
        <v>63</v>
      </c>
      <c r="F42" s="43"/>
      <c r="G42" s="50"/>
      <c r="H42" s="11"/>
    </row>
    <row r="43" spans="1:8" ht="100.8" x14ac:dyDescent="0.3">
      <c r="A43" s="35" t="s">
        <v>43</v>
      </c>
      <c r="B43" s="70" t="s">
        <v>2</v>
      </c>
      <c r="C43" s="13" t="s">
        <v>64</v>
      </c>
      <c r="D43" s="13" t="s">
        <v>46</v>
      </c>
      <c r="E43" s="13" t="s">
        <v>44</v>
      </c>
      <c r="F43" s="13" t="s">
        <v>45</v>
      </c>
      <c r="G43" s="50"/>
      <c r="H43" s="11"/>
    </row>
    <row r="44" spans="1:8" ht="15.6" x14ac:dyDescent="0.3">
      <c r="A44" s="36" t="s">
        <v>47</v>
      </c>
      <c r="B44" s="37"/>
      <c r="C44" s="37"/>
      <c r="D44" s="37"/>
      <c r="E44" s="37"/>
      <c r="F44" s="38"/>
      <c r="G44" s="51">
        <f>SUM(G41:G43)</f>
        <v>0</v>
      </c>
      <c r="H44" s="68"/>
    </row>
    <row r="45" spans="1:8" ht="31.2" x14ac:dyDescent="0.3">
      <c r="A45" s="39" t="s">
        <v>10</v>
      </c>
      <c r="B45" s="21" t="s">
        <v>3</v>
      </c>
      <c r="C45" s="21" t="s">
        <v>18</v>
      </c>
      <c r="D45" s="21" t="s">
        <v>19</v>
      </c>
      <c r="E45" s="21" t="s">
        <v>20</v>
      </c>
      <c r="F45" s="21" t="s">
        <v>21</v>
      </c>
      <c r="G45" s="21" t="s">
        <v>22</v>
      </c>
      <c r="H45" s="21" t="s">
        <v>23</v>
      </c>
    </row>
    <row r="46" spans="1:8" ht="147.44999999999999" customHeight="1" x14ac:dyDescent="0.3">
      <c r="A46" s="39" t="s">
        <v>86</v>
      </c>
      <c r="B46" s="75" t="s">
        <v>2</v>
      </c>
      <c r="C46" s="75" t="s">
        <v>87</v>
      </c>
      <c r="D46" s="75" t="s">
        <v>88</v>
      </c>
      <c r="E46" s="75" t="s">
        <v>89</v>
      </c>
      <c r="F46" s="42"/>
      <c r="G46" s="52"/>
      <c r="H46" s="21"/>
    </row>
    <row r="47" spans="1:8" ht="203.25" customHeight="1" x14ac:dyDescent="0.3">
      <c r="A47" s="39" t="s">
        <v>93</v>
      </c>
      <c r="B47" s="75" t="s">
        <v>2</v>
      </c>
      <c r="C47" s="75" t="s">
        <v>92</v>
      </c>
      <c r="D47" s="75" t="s">
        <v>91</v>
      </c>
      <c r="E47" s="75" t="s">
        <v>90</v>
      </c>
      <c r="F47" s="42"/>
      <c r="G47" s="52"/>
      <c r="H47" s="21"/>
    </row>
    <row r="48" spans="1:8" ht="167.25" customHeight="1" x14ac:dyDescent="0.3">
      <c r="A48" s="39" t="s">
        <v>48</v>
      </c>
      <c r="B48" s="22" t="s">
        <v>2</v>
      </c>
      <c r="C48" s="23" t="s">
        <v>54</v>
      </c>
      <c r="D48" s="23" t="s">
        <v>55</v>
      </c>
      <c r="E48" s="23" t="s">
        <v>94</v>
      </c>
      <c r="F48" s="23" t="s">
        <v>50</v>
      </c>
      <c r="G48" s="52"/>
      <c r="H48" s="21"/>
    </row>
    <row r="49" spans="1:10" ht="31.2" x14ac:dyDescent="0.3">
      <c r="A49" s="24" t="s">
        <v>49</v>
      </c>
      <c r="B49" s="25"/>
      <c r="C49" s="25"/>
      <c r="D49" s="25"/>
      <c r="E49" s="25"/>
      <c r="F49" s="25"/>
      <c r="G49" s="53">
        <f>SUM(G46:G48)</f>
        <v>0</v>
      </c>
      <c r="H49" s="65"/>
    </row>
    <row r="50" spans="1:10" ht="99" customHeight="1" x14ac:dyDescent="0.3">
      <c r="A50" s="40" t="s">
        <v>95</v>
      </c>
      <c r="B50" s="27" t="s">
        <v>3</v>
      </c>
      <c r="C50" s="27" t="s">
        <v>51</v>
      </c>
      <c r="D50" s="27" t="s">
        <v>19</v>
      </c>
      <c r="E50" s="27" t="s">
        <v>20</v>
      </c>
      <c r="F50" s="27" t="s">
        <v>21</v>
      </c>
      <c r="G50" s="27" t="s">
        <v>22</v>
      </c>
      <c r="H50" s="27" t="s">
        <v>23</v>
      </c>
      <c r="I50" s="88"/>
      <c r="J50" s="88"/>
    </row>
    <row r="51" spans="1:10" ht="184.5" customHeight="1" x14ac:dyDescent="0.3">
      <c r="A51" s="40" t="s">
        <v>96</v>
      </c>
      <c r="B51" s="80" t="s">
        <v>2</v>
      </c>
      <c r="C51" s="80" t="s">
        <v>97</v>
      </c>
      <c r="D51" s="80" t="s">
        <v>98</v>
      </c>
      <c r="E51" s="80" t="s">
        <v>99</v>
      </c>
      <c r="F51" s="42"/>
      <c r="G51" s="54"/>
      <c r="H51" s="41"/>
    </row>
    <row r="52" spans="1:10" ht="155.25" customHeight="1" x14ac:dyDescent="0.3">
      <c r="A52" s="40" t="s">
        <v>100</v>
      </c>
      <c r="B52" s="80" t="s">
        <v>2</v>
      </c>
      <c r="C52" s="80" t="s">
        <v>101</v>
      </c>
      <c r="D52" s="80" t="s">
        <v>102</v>
      </c>
      <c r="E52" s="80" t="s">
        <v>103</v>
      </c>
      <c r="F52" s="42"/>
      <c r="G52" s="54"/>
      <c r="H52" s="41"/>
    </row>
    <row r="53" spans="1:10" ht="175.95" customHeight="1" x14ac:dyDescent="0.3">
      <c r="A53" s="40" t="s">
        <v>48</v>
      </c>
      <c r="B53" s="81" t="s">
        <v>2</v>
      </c>
      <c r="C53" s="82" t="s">
        <v>104</v>
      </c>
      <c r="D53" s="82" t="s">
        <v>105</v>
      </c>
      <c r="E53" s="82" t="s">
        <v>106</v>
      </c>
      <c r="F53" s="82" t="s">
        <v>107</v>
      </c>
      <c r="G53" s="54"/>
      <c r="H53" s="41"/>
    </row>
    <row r="54" spans="1:10" ht="31.2" x14ac:dyDescent="0.3">
      <c r="A54" s="45" t="s">
        <v>109</v>
      </c>
      <c r="B54" s="46"/>
      <c r="C54" s="46"/>
      <c r="D54" s="46"/>
      <c r="E54" s="46"/>
      <c r="F54" s="46"/>
      <c r="G54" s="55">
        <f>SUM(G51:G53)</f>
        <v>0</v>
      </c>
      <c r="H54" s="66"/>
    </row>
    <row r="55" spans="1:10" ht="89.25" customHeight="1" x14ac:dyDescent="0.3">
      <c r="A55" s="83" t="s">
        <v>111</v>
      </c>
      <c r="B55" s="84"/>
      <c r="C55" s="84"/>
      <c r="D55" s="84"/>
      <c r="E55" s="84"/>
      <c r="F55" s="84"/>
      <c r="G55" s="56">
        <f>SUM(G44,G49,G54)</f>
        <v>0</v>
      </c>
      <c r="H55" s="85"/>
    </row>
    <row r="58" spans="1:10" ht="63" x14ac:dyDescent="0.4">
      <c r="G58" s="47" t="s">
        <v>52</v>
      </c>
      <c r="H58" s="47" t="s">
        <v>53</v>
      </c>
    </row>
    <row r="59" spans="1:10" ht="138.75" customHeight="1" x14ac:dyDescent="0.3">
      <c r="G59" s="56">
        <f>SUM(G36,G55)</f>
        <v>0</v>
      </c>
      <c r="H59" s="48"/>
    </row>
  </sheetData>
  <mergeCells count="1">
    <mergeCell ref="I50:J50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Aleka Psarrou</dc:creator>
  <cp:lastModifiedBy>Afreen Mohsin</cp:lastModifiedBy>
  <cp:lastPrinted>2021-01-03T00:01:39Z</cp:lastPrinted>
  <dcterms:created xsi:type="dcterms:W3CDTF">2021-01-02T18:51:00Z</dcterms:created>
  <dcterms:modified xsi:type="dcterms:W3CDTF">2026-02-25T13:31:47Z</dcterms:modified>
</cp:coreProperties>
</file>