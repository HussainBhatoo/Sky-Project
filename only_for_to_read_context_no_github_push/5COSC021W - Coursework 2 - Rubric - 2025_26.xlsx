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University-of-Westminster\2025-2026\SEM-2\Software-Development-Group-Project\25_26\New-One\Modified-Course-work\Updated\Final-One\Course-Work-Rubrics\"/>
    </mc:Choice>
  </mc:AlternateContent>
  <xr:revisionPtr revIDLastSave="0" documentId="13_ncr:1_{4FF17D53-CEEF-4BA9-A30A-F6AD061D9444}" xr6:coauthVersionLast="47" xr6:coauthVersionMax="47" xr10:uidLastSave="{00000000-0000-0000-0000-000000000000}"/>
  <bookViews>
    <workbookView xWindow="-108" yWindow="-108" windowWidth="23256" windowHeight="12456" xr2:uid="{96223806-BB47-4008-B3A0-362CD9E930A5}"/>
  </bookViews>
  <sheets>
    <sheet name="Marking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0" i="1" l="1"/>
  <c r="H51" i="1" l="1"/>
  <c r="H59" i="1" l="1"/>
  <c r="H54" i="1"/>
  <c r="H33" i="1" l="1"/>
  <c r="H29" i="1"/>
  <c r="H47" i="1"/>
  <c r="H24" i="1"/>
  <c r="H19" i="1"/>
  <c r="H60" i="1" l="1"/>
  <c r="H41" i="1"/>
  <c r="H70" i="1" l="1"/>
</calcChain>
</file>

<file path=xl/sharedStrings.xml><?xml version="1.0" encoding="utf-8"?>
<sst xmlns="http://schemas.openxmlformats.org/spreadsheetml/2006/main" count="244" uniqueCount="166">
  <si>
    <t>Criteria</t>
  </si>
  <si>
    <t>No real attempt. Submission is devoid of any meaningful material.</t>
  </si>
  <si>
    <t>0 points</t>
  </si>
  <si>
    <t>Professional Conduct [Feedback giving &amp; receiving]  [10 Points]</t>
  </si>
  <si>
    <t xml:space="preserve">Student  id: </t>
  </si>
  <si>
    <t>Student Attended Viva: yes/no?</t>
  </si>
  <si>
    <t>1 point</t>
  </si>
  <si>
    <t>2 points</t>
  </si>
  <si>
    <t>3 points</t>
  </si>
  <si>
    <t>4 points</t>
  </si>
  <si>
    <t>Points Awarded</t>
  </si>
  <si>
    <t>Additional Comments</t>
  </si>
  <si>
    <t>Total - Test plans</t>
  </si>
  <si>
    <t>Justification of feedback/ how it was used</t>
  </si>
  <si>
    <t>Timeframe and clarity</t>
  </si>
  <si>
    <t xml:space="preserve">The feedback described was very concise, clear, and important  but very few described ( 4 or less) </t>
  </si>
  <si>
    <t xml:space="preserve">Most of the  feedback described was not  concise or not on important issues of the cwk - eg more with management of project rather than design or application </t>
  </si>
  <si>
    <t>Total - Feedback</t>
  </si>
  <si>
    <t>1 points</t>
  </si>
  <si>
    <t>Overall Comments</t>
  </si>
  <si>
    <t xml:space="preserve">No real attempt. Submission is devoid of any meaningful material </t>
  </si>
  <si>
    <t xml:space="preserve">The feedback described was very concise and clear ( more than 7 instances descibed) </t>
  </si>
  <si>
    <t>Very good justification given for at least one third  of the cases (30%) (on issues feedback given was trying to address and on how feedback received was acted on).</t>
  </si>
  <si>
    <t>Very good justification given for most of the  cases (over 75%) (on issues feedback given was trying to address and on how feedback received was acted on).</t>
  </si>
  <si>
    <t>Very good justification given (on issues feedback given was trying to address and on how feedback received was acted on).</t>
  </si>
  <si>
    <t>Individual Elements</t>
  </si>
  <si>
    <t>Group Elements</t>
  </si>
  <si>
    <t>5 points</t>
  </si>
  <si>
    <t>Explanation of the code functionality of each file</t>
  </si>
  <si>
    <t xml:space="preserve">All the required  files are mentioned and authoriship is appropriately attributed to the student or group members where co-authored  </t>
  </si>
  <si>
    <t xml:space="preserve">Good explanation of the functionality of code but some elements  may not be clear. </t>
  </si>
  <si>
    <t xml:space="preserve">Performance during demonstration </t>
  </si>
  <si>
    <t xml:space="preserve">Student was present at viva but input was very poor </t>
  </si>
  <si>
    <t>Student could explain their own code very well but had poor understanding of the remaining code</t>
  </si>
  <si>
    <t>Student could explain their own code very well and had good understanding of the remaining code</t>
  </si>
  <si>
    <t xml:space="preserve">Total - Code Functionality </t>
  </si>
  <si>
    <t>Coding standards and conventions</t>
  </si>
  <si>
    <t>Use of comments</t>
  </si>
  <si>
    <t>Total  - Code quality- maintability</t>
  </si>
  <si>
    <t xml:space="preserve">Total - version control </t>
  </si>
  <si>
    <t>Evidence of version control</t>
  </si>
  <si>
    <t>Your description of the version control  is very good and clear how you kept track of your code and that of your group (if no group members then award marks for individual)</t>
  </si>
  <si>
    <t>Very good histoty of updates and comments on files  available on group version control</t>
  </si>
  <si>
    <t>Brief evidence of updates/uploads on version control  and few evidence of  comments in any files/updates</t>
  </si>
  <si>
    <t>Output of test plans [10 points]</t>
  </si>
  <si>
    <t xml:space="preserve">Test plan of individual contribution </t>
  </si>
  <si>
    <t>Test plan for individual part is well designed and well documented and gives appropriate results</t>
  </si>
  <si>
    <t>Test plan is well designed and well documented but when repeated gives different results</t>
  </si>
  <si>
    <t xml:space="preserve">Documentation of test results based on plan is reasonable but not all boundary conditions tested </t>
  </si>
  <si>
    <t>Not all parts of the individual implementation  have tests</t>
  </si>
  <si>
    <t>Very few parts of the individual implementation  have tests</t>
  </si>
  <si>
    <t>Test plan for group part is well designed and well documented and gives appropriate results</t>
  </si>
  <si>
    <t>Not all parts of the group implementation  have tests</t>
  </si>
  <si>
    <t>Very few parts of the group implementation  have tests</t>
  </si>
  <si>
    <t xml:space="preserve">Test plan - group application </t>
  </si>
  <si>
    <t>Description of Feedback (Given and received)</t>
  </si>
  <si>
    <t>Legal &amp; Ethical [10 marks]</t>
  </si>
  <si>
    <t>Principles of UI/UX applied</t>
  </si>
  <si>
    <t>Total - Application front end</t>
  </si>
  <si>
    <t>Application front end (2 or 2a) [10 marks]</t>
  </si>
  <si>
    <t>Total- Security</t>
  </si>
  <si>
    <t>Spurious risks identified and incomprehensible mitigation proposed.</t>
  </si>
  <si>
    <t>At least 2 risks identified and reasonable mitigation proposed.</t>
  </si>
  <si>
    <t>Most risks identified and some mitigation proposed.</t>
  </si>
  <si>
    <t>Good risk identification and acceptable mitigation.</t>
  </si>
  <si>
    <t>Excellent risk identification and acceptable mitigation.</t>
  </si>
  <si>
    <t>Legal</t>
  </si>
  <si>
    <t>Ethical</t>
  </si>
  <si>
    <t xml:space="preserve">Total- Legal and Ethical </t>
  </si>
  <si>
    <t>Minimal attempt at providing legal  review, lacking context.</t>
  </si>
  <si>
    <t>Have provided an excellent review of legal  constraints for your problem domain supported by cited references</t>
  </si>
  <si>
    <t>Have provided an excellent review of legal  constraints for your problem domain but not supported by cited references</t>
  </si>
  <si>
    <t>Have provided a a sound review of legal  constraints for your problem domain with some cited evidence</t>
  </si>
  <si>
    <t>Have provided a a sound review of legal  constraints for your problem domain with no cited evidence</t>
  </si>
  <si>
    <t>Minimal attempt at providing ethical  review, lacking context.</t>
  </si>
  <si>
    <t>Have provided a a sound review of ethical constraints for your problem domain with no cited evidence</t>
  </si>
  <si>
    <t>Have provided a a sound review of ethical  constraints for your problem domain with some cited evidence</t>
  </si>
  <si>
    <t>Have provided an excellent review of ethical  constraints for your problem domain but not supported by cited references</t>
  </si>
  <si>
    <t>Have provided an excellent review of ethical constraints for your problem domain supported by cited references</t>
  </si>
  <si>
    <t>Coursework 2 - Rubric</t>
  </si>
  <si>
    <t>Total marks for CWK 2</t>
  </si>
  <si>
    <t xml:space="preserve">Total Individual </t>
  </si>
  <si>
    <t>Total Group</t>
  </si>
  <si>
    <t>Implementation of individual element - front end</t>
  </si>
  <si>
    <t>Implementation of individual element - back -end</t>
  </si>
  <si>
    <t>No real attempt. What is mentioned does not provide meaningful information relevant to the question.</t>
  </si>
  <si>
    <t>The back-end for the individual panel  is to the requirements and  any errors are correctly handled.</t>
  </si>
  <si>
    <t>The back-end for the individual panel is according to the requirements  but not all  errors are correctly handled.</t>
  </si>
  <si>
    <t>Explanation on how the individual  code is integrated  with the rest of the group work is very brief or lacks adequate detail or the code does not run well</t>
  </si>
  <si>
    <t>Explanation how the code is integrated to that of the other group members. Performance of individual element when integrated with other group work</t>
  </si>
  <si>
    <t xml:space="preserve">Student Name: </t>
  </si>
  <si>
    <t>Project Group:</t>
  </si>
  <si>
    <t xml:space="preserve">Marker 's name:  </t>
  </si>
  <si>
    <t>Description  of version control used</t>
  </si>
  <si>
    <t>The feedback decribed covered short periods of cwk 2 and/ or  it was not always clear to whom it was given</t>
  </si>
  <si>
    <t>The feedback decribed covered half of the period of cwk 2 (50%) and/ or  it was not always clear to whom it was given</t>
  </si>
  <si>
    <t>The feedback decribed covered most period of cwk 2 (75%) and/ or  it was not always clear to whom it was given</t>
  </si>
  <si>
    <t>The feedback decribed covered all period of cwk 2 and it was clear to whom it was given - no flaws</t>
  </si>
  <si>
    <t xml:space="preserve">Files that make up student's individual and contributions  with authorship information </t>
  </si>
  <si>
    <t>Explanation of the functionality of the code is very brief - the description in the template  does not provide a good understanding of what each filedoes</t>
  </si>
  <si>
    <t xml:space="preserve">Excellent explanation of the functionallity of the code in each files authored or co-authored by the student. </t>
  </si>
  <si>
    <r>
      <t xml:space="preserve">The front end functionality is not according to the requirements </t>
    </r>
    <r>
      <rPr>
        <b/>
        <sz val="11"/>
        <rFont val="Calibri"/>
        <family val="2"/>
        <scheme val="minor"/>
      </rPr>
      <t>or</t>
    </r>
    <r>
      <rPr>
        <sz val="11"/>
        <rFont val="Calibri"/>
        <family val="2"/>
        <scheme val="minor"/>
      </rPr>
      <t xml:space="preserve">  errors are not correctly handled.</t>
    </r>
  </si>
  <si>
    <t>The front end  is according to the requirements and some but not all errors are  handled correctly.</t>
  </si>
  <si>
    <r>
      <t xml:space="preserve">The front end   is not according to the functionality </t>
    </r>
    <r>
      <rPr>
        <b/>
        <sz val="11"/>
        <rFont val="Calibri"/>
        <family val="2"/>
        <scheme val="minor"/>
      </rPr>
      <t>and</t>
    </r>
    <r>
      <rPr>
        <sz val="11"/>
        <rFont val="Calibri"/>
        <family val="2"/>
        <scheme val="minor"/>
      </rPr>
      <t xml:space="preserve"> errors are not handled well </t>
    </r>
  </si>
  <si>
    <t>The front  end is implemented according to  the requirements and any errors are  handled correctly.</t>
  </si>
  <si>
    <r>
      <t xml:space="preserve">The back-end for the individual panel   is not according to the functionality </t>
    </r>
    <r>
      <rPr>
        <b/>
        <sz val="11"/>
        <rFont val="Calibri"/>
        <family val="2"/>
        <scheme val="minor"/>
      </rPr>
      <t>and</t>
    </r>
    <r>
      <rPr>
        <sz val="11"/>
        <rFont val="Calibri"/>
        <family val="2"/>
        <scheme val="minor"/>
      </rPr>
      <t xml:space="preserve"> errors are not handled well </t>
    </r>
  </si>
  <si>
    <r>
      <t xml:space="preserve">The back-end for the individual panel  functionality is not  according to the requirements </t>
    </r>
    <r>
      <rPr>
        <b/>
        <sz val="11"/>
        <rFont val="Calibri"/>
        <family val="2"/>
        <scheme val="minor"/>
      </rPr>
      <t>or</t>
    </r>
    <r>
      <rPr>
        <sz val="11"/>
        <rFont val="Calibri"/>
        <family val="2"/>
        <scheme val="minor"/>
      </rPr>
      <t xml:space="preserve"> errors are not correctly handled.</t>
    </r>
  </si>
  <si>
    <t xml:space="preserve">Good explanation of how the individual element is integrated but some elements may not be clear </t>
  </si>
  <si>
    <t>Good explanation of how the individual element is integrated but some elements may not be clear. The code runs well but not all  errors are correctly handled.</t>
  </si>
  <si>
    <t>Excellent explanation of how the individual element is integrated with the other parts of the code.  The code is integrated  well, and any errors are correctly handled.</t>
  </si>
  <si>
    <t>Student could not explain well their own code and discuss application code</t>
  </si>
  <si>
    <t>Very good history of updates but  no evidence of  comments in any files/updates</t>
  </si>
  <si>
    <t xml:space="preserve">Consistent use of design across the application </t>
  </si>
  <si>
    <t>There is substantial difference between members' design/apps (pages) but there is no reflective discussion in the template</t>
  </si>
  <si>
    <t>There is some difference between members' design/apps (pages) but there is no reflective discussion in the template</t>
  </si>
  <si>
    <t>There is little  difference between members' design/apps (pages) but there is no reflective discussion in the template</t>
  </si>
  <si>
    <t>There is no difference between members' design/apps (pages) and there is good discussion/reflection  in the template on how this was achieved</t>
  </si>
  <si>
    <t>There is no difference between members' design/apps (pages) but there is no  discussion in the template on how this was achieved.</t>
  </si>
  <si>
    <t>Insufficient knowledge of UI/UX presented in context with no recommendadtions</t>
  </si>
  <si>
    <t xml:space="preserve">Acceptable  principles of UI/UX applied in most panels in the application </t>
  </si>
  <si>
    <t xml:space="preserve">Good principles of UI/UX applied in most panels in the application </t>
  </si>
  <si>
    <t xml:space="preserve">Excellent principles of UI/UX applied in most panels in the application </t>
  </si>
  <si>
    <t xml:space="preserve">Excellent principles of UI/UX applied through out the panel </t>
  </si>
  <si>
    <t>Very good use of informative  comments in code and discussed in template with examples</t>
  </si>
  <si>
    <t>3-4 points</t>
  </si>
  <si>
    <t>Code Quality- maintainability [5 points]</t>
  </si>
  <si>
    <t>0-0.5 points</t>
  </si>
  <si>
    <t>Some  text on code resusability /evolution but it is very generic, or specific to the cwk or not  supported by examples</t>
  </si>
  <si>
    <t xml:space="preserve">Adequate text on code reusability/evolution , it is revelant to the cwk, but not supported by examples </t>
  </si>
  <si>
    <t xml:space="preserve">Adequate text on code reusability/evolution, it is revelant to the cwk and supported by examples </t>
  </si>
  <si>
    <t xml:space="preserve">Code resusability/evolution </t>
  </si>
  <si>
    <t>Code Quality - version control  [5 points]</t>
  </si>
  <si>
    <t>There is no evidence of uploads on group version control. Very brief evidence of updates/uploads on version control   and no  evidence of  comments in any files/updates</t>
  </si>
  <si>
    <t xml:space="preserve">No real attempt. Submission is devoid of any meaningful material. Your description of the version control  is very brief and it is not very clear how you  kept track of your code changes </t>
  </si>
  <si>
    <t xml:space="preserve">Application  - Security [5 marks] </t>
  </si>
  <si>
    <t>Database Implementtaion</t>
  </si>
  <si>
    <t>A database for users, voting, session , time track is created to keep all necessary information</t>
  </si>
  <si>
    <t>Some of the tables are implemented (eg users or votes) but not both - there is no other tables implemented or used from a predefined db</t>
  </si>
  <si>
    <t>Tables that implemented both users and votes are there, but not how to handle sessions and or collate votes for teams and departments</t>
  </si>
  <si>
    <t>Tables that implement users and votes and also teams or depatrments but no sessions</t>
  </si>
  <si>
    <t>Tables that implement users and votes and also teams and depatrments but no sessions</t>
  </si>
  <si>
    <t>No real attempt. Submission is devoid of any meaningful material . Only CRUD is there for admin</t>
  </si>
  <si>
    <t>0 - 0.5 points</t>
  </si>
  <si>
    <t>Identification of risks (database  &amp; Login )</t>
  </si>
  <si>
    <t xml:space="preserve">Good coding standards and conventions used and  supported by non-trivial examples </t>
  </si>
  <si>
    <t>No real attempt. Submission is devoid of any meaningful material. Coding standards and conventions not explained (0) - Some coding standards used and/or explained.  Text not supported by evidence (examples from code)  or examples are very trivial.</t>
  </si>
  <si>
    <t xml:space="preserve"> No real attempt. Submission is devoid of any meaningful material (0) Some use of comments but not always informative  and no adequate discussion in the template with examples (0.5)</t>
  </si>
  <si>
    <t xml:space="preserve"> Could explain very well during viva all the elements of the version control . </t>
  </si>
  <si>
    <t>Not able to demonstrate the group version control (0). Could explain some elements on version control system (0.5)</t>
  </si>
  <si>
    <t>Total - Professional Conduct</t>
  </si>
  <si>
    <t>Sessions wih the mentors and sky engineers</t>
  </si>
  <si>
    <t>Provided excellent  reflective responses to all five questions on the template with examples.</t>
  </si>
  <si>
    <t>Provided brief responses to all questions, but not much detailed / or  provided responses only to two of the questions in the template</t>
  </si>
  <si>
    <t>Provided good responses to all questions, but not much detailed /or  provided responses only to four of the questions in the template</t>
  </si>
  <si>
    <t>Provided reasonable responses to all questions /or  provided responses only to three of the questions in the template</t>
  </si>
  <si>
    <t>Provided poor  responses to all questions / or  provided responses only to one of the questions in the template</t>
  </si>
  <si>
    <t>Professional Conduct [Mentors and Sky Engineers]  [10 Points]</t>
  </si>
  <si>
    <t>1 - 2 points</t>
  </si>
  <si>
    <t>5-6 points</t>
  </si>
  <si>
    <t>7-8 points</t>
  </si>
  <si>
    <t>9-10 points</t>
  </si>
  <si>
    <t>Not all required files are mentioned or  may not  be clear what the contribution of the student or the co-authors were</t>
  </si>
  <si>
    <t>Not all required files are mentioned and   may not  be clear what the contribution of the student or the co-authors aswere</t>
  </si>
  <si>
    <t>5COSC021W  - 2025/26</t>
  </si>
  <si>
    <t>Code functionality [Database Implementation]  [15 Points]</t>
  </si>
  <si>
    <t>Code Functionality [20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</si>
</sst>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1"/>
      <color rgb="FF444444"/>
      <name val="Calibri"/>
      <family val="2"/>
      <scheme val="minor"/>
    </font>
    <font>
      <b/>
      <sz val="12"/>
      <color theme="1"/>
      <name val="Calibri"/>
      <family val="2"/>
      <scheme val="minor"/>
    </font>
    <font>
      <b/>
      <i/>
      <sz val="12"/>
      <color theme="2" tint="-0.89999084444715716"/>
      <name val="Calibri"/>
      <family val="2"/>
      <scheme val="minor"/>
    </font>
    <font>
      <b/>
      <i/>
      <sz val="12"/>
      <color theme="1"/>
      <name val="Calibri"/>
      <family val="2"/>
      <scheme val="minor"/>
    </font>
    <font>
      <b/>
      <i/>
      <sz val="12"/>
      <name val="Calibri"/>
      <family val="2"/>
      <scheme val="minor"/>
    </font>
    <font>
      <b/>
      <sz val="16"/>
      <color theme="1"/>
      <name val="Calibri"/>
      <family val="2"/>
      <scheme val="minor"/>
    </font>
    <font>
      <sz val="11"/>
      <name val="Calibri"/>
      <family val="2"/>
      <scheme val="minor"/>
    </font>
    <font>
      <b/>
      <sz val="11"/>
      <name val="Calibri"/>
      <family val="2"/>
      <scheme val="minor"/>
    </font>
  </fonts>
  <fills count="13">
    <fill>
      <patternFill patternType="none"/>
    </fill>
    <fill>
      <patternFill patternType="gray125"/>
    </fill>
    <fill>
      <patternFill patternType="solid">
        <fgColor theme="7" tint="0.5999938962981048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3" tint="0.79998168889431442"/>
        <bgColor indexed="64"/>
      </patternFill>
    </fill>
    <fill>
      <patternFill patternType="solid">
        <fgColor theme="2" tint="-9.9978637043366805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s>
  <cellStyleXfs count="1">
    <xf numFmtId="0" fontId="0" fillId="0" borderId="0"/>
  </cellStyleXfs>
  <cellXfs count="91">
    <xf numFmtId="0" fontId="0" fillId="0" borderId="0" xfId="0"/>
    <xf numFmtId="0" fontId="3" fillId="0" borderId="0" xfId="0" applyFont="1"/>
    <xf numFmtId="0" fontId="3" fillId="0" borderId="2" xfId="0" applyFont="1" applyBorder="1"/>
    <xf numFmtId="0" fontId="3" fillId="0" borderId="3" xfId="0" applyFont="1" applyBorder="1"/>
    <xf numFmtId="0" fontId="4" fillId="2" borderId="1" xfId="0" applyFont="1" applyFill="1" applyBorder="1" applyAlignment="1">
      <alignment vertical="top" wrapText="1"/>
    </xf>
    <xf numFmtId="0" fontId="2" fillId="2" borderId="1" xfId="0" applyFont="1" applyFill="1" applyBorder="1" applyAlignment="1">
      <alignment horizontal="left" vertical="top" wrapText="1"/>
    </xf>
    <xf numFmtId="0" fontId="0" fillId="2" borderId="1" xfId="0" applyFill="1" applyBorder="1" applyAlignment="1">
      <alignment horizontal="left" vertical="top"/>
    </xf>
    <xf numFmtId="0" fontId="0" fillId="2" borderId="1" xfId="0" applyFill="1" applyBorder="1" applyAlignment="1">
      <alignment vertical="top" wrapText="1"/>
    </xf>
    <xf numFmtId="0" fontId="0" fillId="2" borderId="1" xfId="0" applyFill="1" applyBorder="1"/>
    <xf numFmtId="0" fontId="4" fillId="3" borderId="1" xfId="0" applyFont="1" applyFill="1" applyBorder="1" applyAlignment="1">
      <alignment vertical="top" wrapText="1"/>
    </xf>
    <xf numFmtId="0" fontId="0" fillId="3" borderId="1" xfId="0" applyFill="1" applyBorder="1"/>
    <xf numFmtId="0" fontId="2" fillId="3" borderId="1" xfId="0" applyFont="1" applyFill="1" applyBorder="1" applyAlignment="1">
      <alignment horizontal="left" vertical="top" wrapText="1"/>
    </xf>
    <xf numFmtId="0" fontId="0" fillId="3" borderId="1" xfId="0" applyFill="1" applyBorder="1" applyAlignment="1">
      <alignment horizontal="left" vertical="top" wrapText="1"/>
    </xf>
    <xf numFmtId="0" fontId="5" fillId="4" borderId="1" xfId="0" applyFont="1" applyFill="1" applyBorder="1" applyAlignment="1">
      <alignment wrapText="1"/>
    </xf>
    <xf numFmtId="0" fontId="0" fillId="4" borderId="1" xfId="0" applyFill="1" applyBorder="1"/>
    <xf numFmtId="0" fontId="0" fillId="4" borderId="1" xfId="0" applyFill="1" applyBorder="1" applyAlignment="1">
      <alignment vertical="top" wrapText="1"/>
    </xf>
    <xf numFmtId="0" fontId="5" fillId="5" borderId="1" xfId="0" applyFont="1" applyFill="1" applyBorder="1" applyAlignment="1">
      <alignment vertical="top" wrapText="1"/>
    </xf>
    <xf numFmtId="0" fontId="2" fillId="5" borderId="1" xfId="0" applyFont="1" applyFill="1" applyBorder="1" applyAlignment="1">
      <alignment horizontal="left" vertical="top" wrapText="1"/>
    </xf>
    <xf numFmtId="0" fontId="5" fillId="6" borderId="1" xfId="0" applyFont="1" applyFill="1" applyBorder="1" applyAlignment="1">
      <alignment wrapText="1"/>
    </xf>
    <xf numFmtId="0" fontId="0" fillId="6" borderId="1" xfId="0" applyFill="1" applyBorder="1" applyAlignment="1">
      <alignment horizontal="left"/>
    </xf>
    <xf numFmtId="0" fontId="0" fillId="6" borderId="1" xfId="0" applyFill="1" applyBorder="1"/>
    <xf numFmtId="0" fontId="2" fillId="6" borderId="1" xfId="0" applyFont="1" applyFill="1" applyBorder="1" applyAlignment="1">
      <alignment horizontal="left" vertical="top" wrapText="1"/>
    </xf>
    <xf numFmtId="0" fontId="0" fillId="6" borderId="1" xfId="0" applyFill="1" applyBorder="1" applyAlignment="1">
      <alignment horizontal="left" vertical="top" wrapText="1"/>
    </xf>
    <xf numFmtId="0" fontId="3" fillId="7" borderId="1" xfId="0" applyFont="1" applyFill="1" applyBorder="1" applyAlignment="1">
      <alignment wrapText="1"/>
    </xf>
    <xf numFmtId="0" fontId="2" fillId="7" borderId="1" xfId="0" applyFont="1" applyFill="1" applyBorder="1" applyAlignment="1">
      <alignment horizontal="left" vertical="top" wrapText="1"/>
    </xf>
    <xf numFmtId="0" fontId="3" fillId="0" borderId="4" xfId="0" applyFont="1" applyBorder="1"/>
    <xf numFmtId="0" fontId="5" fillId="8" borderId="1" xfId="0" applyFont="1" applyFill="1" applyBorder="1" applyAlignment="1">
      <alignment wrapText="1"/>
    </xf>
    <xf numFmtId="0" fontId="0" fillId="8" borderId="1" xfId="0" applyFill="1" applyBorder="1" applyAlignment="1">
      <alignment horizontal="left"/>
    </xf>
    <xf numFmtId="0" fontId="0" fillId="8" borderId="1" xfId="0" applyFill="1" applyBorder="1"/>
    <xf numFmtId="0" fontId="2" fillId="8" borderId="1" xfId="0" applyFont="1" applyFill="1" applyBorder="1" applyAlignment="1">
      <alignment vertical="top" wrapText="1"/>
    </xf>
    <xf numFmtId="0" fontId="2" fillId="8" borderId="1" xfId="0" applyFont="1" applyFill="1" applyBorder="1" applyAlignment="1">
      <alignment horizontal="left" vertical="top" wrapText="1"/>
    </xf>
    <xf numFmtId="0" fontId="5" fillId="9" borderId="1" xfId="0" applyFont="1" applyFill="1" applyBorder="1" applyAlignment="1">
      <alignment wrapText="1"/>
    </xf>
    <xf numFmtId="0" fontId="0" fillId="9" borderId="1" xfId="0" applyFill="1" applyBorder="1" applyAlignment="1">
      <alignment vertical="top"/>
    </xf>
    <xf numFmtId="0" fontId="2" fillId="9" borderId="1" xfId="0" applyFont="1" applyFill="1" applyBorder="1" applyAlignment="1">
      <alignment vertical="top" wrapText="1"/>
    </xf>
    <xf numFmtId="0" fontId="2" fillId="0" borderId="0" xfId="0" applyFont="1" applyAlignment="1">
      <alignment horizontal="left" vertical="top" wrapText="1"/>
    </xf>
    <xf numFmtId="0" fontId="0" fillId="0" borderId="0" xfId="0" applyAlignment="1">
      <alignment horizontal="left"/>
    </xf>
    <xf numFmtId="0" fontId="2" fillId="8" borderId="1" xfId="0" applyFont="1" applyFill="1" applyBorder="1" applyAlignment="1">
      <alignment wrapText="1"/>
    </xf>
    <xf numFmtId="0" fontId="6" fillId="3" borderId="1" xfId="0" applyFont="1" applyFill="1" applyBorder="1" applyAlignment="1">
      <alignment vertical="top" wrapText="1"/>
    </xf>
    <xf numFmtId="0" fontId="3" fillId="10" borderId="1" xfId="0" applyFont="1" applyFill="1" applyBorder="1"/>
    <xf numFmtId="0" fontId="2" fillId="10" borderId="1" xfId="0" applyFont="1" applyFill="1" applyBorder="1" applyAlignment="1">
      <alignment horizontal="left" vertical="center" wrapText="1"/>
    </xf>
    <xf numFmtId="0" fontId="2" fillId="10" borderId="1" xfId="0" applyFont="1" applyFill="1" applyBorder="1" applyAlignment="1">
      <alignment horizontal="left" vertical="top" wrapText="1"/>
    </xf>
    <xf numFmtId="0" fontId="6" fillId="6" borderId="1" xfId="0" applyFont="1" applyFill="1" applyBorder="1" applyAlignment="1">
      <alignment wrapText="1"/>
    </xf>
    <xf numFmtId="0" fontId="6" fillId="8" borderId="1" xfId="0" applyFont="1" applyFill="1" applyBorder="1" applyAlignment="1">
      <alignment wrapText="1"/>
    </xf>
    <xf numFmtId="0" fontId="1" fillId="8" borderId="1" xfId="0" applyFont="1" applyFill="1" applyBorder="1" applyAlignment="1">
      <alignment vertical="center"/>
    </xf>
    <xf numFmtId="0" fontId="3" fillId="9" borderId="1" xfId="0" applyFont="1" applyFill="1" applyBorder="1" applyAlignment="1">
      <alignment wrapText="1"/>
    </xf>
    <xf numFmtId="0" fontId="2" fillId="9" borderId="1" xfId="0" applyFont="1" applyFill="1" applyBorder="1" applyAlignment="1">
      <alignment horizontal="left" vertical="top" wrapText="1"/>
    </xf>
    <xf numFmtId="0" fontId="7" fillId="11" borderId="1" xfId="0" applyFont="1" applyFill="1" applyBorder="1" applyAlignment="1">
      <alignment wrapText="1"/>
    </xf>
    <xf numFmtId="0" fontId="0" fillId="11" borderId="1" xfId="0" applyFill="1" applyBorder="1"/>
    <xf numFmtId="0" fontId="2" fillId="3" borderId="1" xfId="0" applyFont="1" applyFill="1" applyBorder="1" applyAlignment="1">
      <alignment horizontal="center" vertical="center" wrapText="1"/>
    </xf>
    <xf numFmtId="0" fontId="0" fillId="10" borderId="1"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0" fillId="9" borderId="1" xfId="0" applyFill="1" applyBorder="1" applyAlignment="1">
      <alignment horizontal="center" vertical="center"/>
    </xf>
    <xf numFmtId="0" fontId="0" fillId="11" borderId="1" xfId="0" applyFill="1" applyBorder="1" applyAlignment="1">
      <alignment horizontal="center" vertical="center"/>
    </xf>
    <xf numFmtId="0" fontId="2" fillId="8" borderId="1" xfId="0" applyFont="1" applyFill="1" applyBorder="1" applyAlignment="1">
      <alignment horizontal="center" vertical="center" wrapText="1"/>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3" borderId="1" xfId="0" applyFill="1" applyBorder="1" applyAlignment="1">
      <alignment horizontal="center" vertical="center" wrapText="1"/>
    </xf>
    <xf numFmtId="0" fontId="0" fillId="2" borderId="1" xfId="0" applyFill="1" applyBorder="1" applyAlignment="1">
      <alignment horizontal="center" vertical="center"/>
    </xf>
    <xf numFmtId="0" fontId="0" fillId="5" borderId="1" xfId="0" applyFill="1" applyBorder="1" applyAlignment="1">
      <alignment vertical="top" wrapText="1"/>
    </xf>
    <xf numFmtId="0" fontId="0" fillId="7" borderId="1" xfId="0" applyFill="1" applyBorder="1" applyAlignment="1">
      <alignment vertical="top" wrapText="1"/>
    </xf>
    <xf numFmtId="0" fontId="0" fillId="9" borderId="1" xfId="0" applyFill="1" applyBorder="1" applyAlignment="1">
      <alignment vertical="top" wrapText="1"/>
    </xf>
    <xf numFmtId="0" fontId="0" fillId="10" borderId="1" xfId="0" applyFill="1" applyBorder="1" applyAlignment="1">
      <alignment vertical="top" wrapText="1"/>
    </xf>
    <xf numFmtId="0" fontId="8" fillId="3" borderId="1" xfId="0" applyFont="1" applyFill="1" applyBorder="1"/>
    <xf numFmtId="0" fontId="8" fillId="3" borderId="1" xfId="0" applyFont="1" applyFill="1" applyBorder="1" applyAlignment="1">
      <alignment horizontal="left" vertical="top" wrapText="1"/>
    </xf>
    <xf numFmtId="0" fontId="8" fillId="3" borderId="1" xfId="0" applyFont="1" applyFill="1" applyBorder="1" applyAlignment="1">
      <alignment vertical="top" wrapText="1"/>
    </xf>
    <xf numFmtId="0" fontId="8" fillId="4" borderId="1" xfId="0" applyFont="1" applyFill="1" applyBorder="1" applyAlignment="1">
      <alignment horizontal="left" vertical="top" wrapText="1"/>
    </xf>
    <xf numFmtId="0" fontId="8" fillId="4" borderId="1" xfId="0" applyFont="1" applyFill="1" applyBorder="1" applyAlignment="1">
      <alignment vertical="top" wrapText="1"/>
    </xf>
    <xf numFmtId="0" fontId="8" fillId="6" borderId="1" xfId="0" applyFont="1" applyFill="1" applyBorder="1" applyAlignment="1">
      <alignment horizontal="left" vertical="top" wrapText="1"/>
    </xf>
    <xf numFmtId="0" fontId="8" fillId="8" borderId="1" xfId="0" applyFont="1" applyFill="1" applyBorder="1" applyAlignment="1">
      <alignment horizontal="left" vertical="top" wrapText="1"/>
    </xf>
    <xf numFmtId="0" fontId="8" fillId="8" borderId="1" xfId="0" applyFont="1" applyFill="1" applyBorder="1" applyAlignment="1">
      <alignment vertical="top" wrapText="1"/>
    </xf>
    <xf numFmtId="0" fontId="8" fillId="12" borderId="1" xfId="0" applyFont="1" applyFill="1" applyBorder="1" applyAlignment="1">
      <alignment vertical="top" wrapText="1"/>
    </xf>
    <xf numFmtId="0" fontId="5" fillId="4" borderId="1" xfId="0" applyFont="1" applyFill="1" applyBorder="1" applyAlignment="1">
      <alignment vertical="top" wrapText="1"/>
    </xf>
    <xf numFmtId="0" fontId="6" fillId="6" borderId="1" xfId="0" applyFont="1" applyFill="1" applyBorder="1" applyAlignment="1">
      <alignment vertical="top" wrapText="1"/>
    </xf>
    <xf numFmtId="0" fontId="0" fillId="12" borderId="1" xfId="0" applyFill="1" applyBorder="1"/>
    <xf numFmtId="0" fontId="0" fillId="12" borderId="1" xfId="0" applyFill="1" applyBorder="1" applyAlignment="1">
      <alignment vertical="top" wrapText="1"/>
    </xf>
    <xf numFmtId="0" fontId="2" fillId="12" borderId="1" xfId="0" applyFont="1" applyFill="1" applyBorder="1" applyAlignment="1">
      <alignment horizontal="left" vertical="top" wrapText="1"/>
    </xf>
    <xf numFmtId="0" fontId="0" fillId="12" borderId="1" xfId="0" applyFill="1" applyBorder="1" applyAlignment="1">
      <alignment horizontal="left" vertical="top" wrapText="1"/>
    </xf>
    <xf numFmtId="0" fontId="0" fillId="12" borderId="1" xfId="0" applyFill="1" applyBorder="1" applyAlignment="1">
      <alignment horizontal="left"/>
    </xf>
    <xf numFmtId="0" fontId="5" fillId="8" borderId="1" xfId="0" applyFont="1" applyFill="1" applyBorder="1" applyAlignment="1">
      <alignment vertical="top" wrapText="1"/>
    </xf>
    <xf numFmtId="0" fontId="3" fillId="0" borderId="0" xfId="0" applyFont="1" applyAlignment="1">
      <alignment wrapText="1"/>
    </xf>
    <xf numFmtId="0" fontId="0" fillId="0" borderId="0" xfId="0" applyAlignment="1">
      <alignment horizontal="center" vertical="center"/>
    </xf>
    <xf numFmtId="0" fontId="0" fillId="0" borderId="0" xfId="0" applyAlignment="1">
      <alignment vertical="top" wrapText="1"/>
    </xf>
    <xf numFmtId="0" fontId="6" fillId="11" borderId="1" xfId="0" applyFont="1" applyFill="1" applyBorder="1" applyAlignment="1">
      <alignment vertical="top" wrapText="1"/>
    </xf>
    <xf numFmtId="0" fontId="2" fillId="11" borderId="1" xfId="0" applyFont="1" applyFill="1" applyBorder="1" applyAlignment="1">
      <alignment horizontal="left" vertical="top" wrapText="1"/>
    </xf>
    <xf numFmtId="0" fontId="2" fillId="11" borderId="1" xfId="0" applyFont="1" applyFill="1" applyBorder="1" applyAlignment="1">
      <alignment horizontal="center" vertical="top" wrapText="1"/>
    </xf>
    <xf numFmtId="0" fontId="2" fillId="11" borderId="1" xfId="0" applyFont="1" applyFill="1" applyBorder="1" applyAlignment="1">
      <alignment horizontal="left" vertical="center" wrapText="1"/>
    </xf>
    <xf numFmtId="0" fontId="3" fillId="12" borderId="1" xfId="0" applyFont="1" applyFill="1" applyBorder="1" applyAlignment="1">
      <alignment wrapText="1"/>
    </xf>
    <xf numFmtId="0" fontId="0" fillId="12" borderId="1" xfId="0" applyFill="1" applyBorder="1" applyAlignment="1">
      <alignment horizontal="center" vertical="center"/>
    </xf>
    <xf numFmtId="0" fontId="0" fillId="3" borderId="1" xfId="0" applyFill="1" applyBorder="1" applyAlignment="1">
      <alignment vertical="top" wrapText="1"/>
    </xf>
  </cellXfs>
  <cellStyles count="1">
    <cellStyle name="Normal" xfId="0" builtinId="0"/>
  </cellStyles>
  <dxfs count="0"/>
  <tableStyles count="0" defaultTableStyle="TableStyleMedium2" defaultPivotStyle="PivotStyleLight16"/>
  <colors>
    <mruColors>
      <color rgb="FFFF99FF"/>
      <color rgb="FFFF9900"/>
      <color rgb="FFFFCCFF"/>
      <color rgb="FFFF7C80"/>
      <color rgb="FFCF01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B2802-421E-4E12-AFB0-E6DF2493F86B}">
  <dimension ref="A2:K70"/>
  <sheetViews>
    <sheetView tabSelected="1" topLeftCell="A36" zoomScale="94" zoomScaleNormal="94" workbookViewId="0">
      <selection activeCell="A13" sqref="A13"/>
    </sheetView>
  </sheetViews>
  <sheetFormatPr defaultRowHeight="14.4" x14ac:dyDescent="0.3"/>
  <cols>
    <col min="1" max="1" width="23.6640625" customWidth="1"/>
    <col min="2" max="2" width="19.6640625" customWidth="1"/>
    <col min="3" max="3" width="17.44140625" customWidth="1"/>
    <col min="4" max="4" width="18.44140625" customWidth="1"/>
    <col min="5" max="5" width="25.21875" customWidth="1"/>
    <col min="6" max="7" width="19.5546875" customWidth="1"/>
    <col min="8" max="8" width="15.6640625" customWidth="1"/>
    <col min="9" max="9" width="55.6640625" customWidth="1"/>
    <col min="10" max="10" width="17.88671875" customWidth="1"/>
    <col min="11" max="11" width="28" customWidth="1"/>
  </cols>
  <sheetData>
    <row r="2" spans="1:11" ht="15.6" x14ac:dyDescent="0.3">
      <c r="A2" s="1" t="s">
        <v>163</v>
      </c>
      <c r="B2" s="1"/>
      <c r="C2" s="1"/>
      <c r="D2" s="1"/>
      <c r="E2" s="1"/>
      <c r="F2" s="1"/>
      <c r="G2" s="1"/>
      <c r="H2" s="1"/>
      <c r="I2" s="1"/>
      <c r="J2" s="1"/>
      <c r="K2" s="1"/>
    </row>
    <row r="3" spans="1:11" ht="15.6" x14ac:dyDescent="0.3">
      <c r="A3" s="1" t="s">
        <v>79</v>
      </c>
      <c r="B3" s="1"/>
      <c r="C3" s="1"/>
      <c r="D3" s="1"/>
      <c r="E3" s="1"/>
      <c r="F3" s="1"/>
      <c r="G3" s="1"/>
      <c r="H3" s="1"/>
      <c r="I3" s="1"/>
      <c r="J3" s="1"/>
      <c r="K3" s="1"/>
    </row>
    <row r="4" spans="1:11" ht="15.6" x14ac:dyDescent="0.3">
      <c r="A4" s="1"/>
      <c r="B4" s="1"/>
      <c r="C4" s="1"/>
      <c r="D4" s="1"/>
      <c r="E4" s="1"/>
      <c r="F4" s="1"/>
      <c r="G4" s="1"/>
      <c r="H4" s="1"/>
      <c r="I4" s="1"/>
      <c r="J4" s="1"/>
      <c r="K4" s="1"/>
    </row>
    <row r="5" spans="1:11" ht="15.6" x14ac:dyDescent="0.3">
      <c r="A5" s="1" t="s">
        <v>90</v>
      </c>
      <c r="B5" s="1"/>
      <c r="C5" s="1"/>
      <c r="D5" s="1" t="s">
        <v>4</v>
      </c>
      <c r="E5" s="1"/>
      <c r="F5" s="1"/>
      <c r="G5" s="1"/>
      <c r="H5" s="1"/>
      <c r="I5" s="1" t="s">
        <v>91</v>
      </c>
      <c r="J5" s="1"/>
      <c r="K5" s="1"/>
    </row>
    <row r="6" spans="1:11" ht="15.6" x14ac:dyDescent="0.3">
      <c r="A6" s="1" t="s">
        <v>5</v>
      </c>
      <c r="B6" s="1"/>
      <c r="C6" s="1"/>
      <c r="D6" s="1"/>
      <c r="E6" s="1"/>
      <c r="F6" s="1"/>
      <c r="G6" s="1"/>
      <c r="H6" s="1"/>
      <c r="I6" s="1"/>
      <c r="J6" s="1"/>
      <c r="K6" s="1"/>
    </row>
    <row r="7" spans="1:11" ht="15.6" x14ac:dyDescent="0.3">
      <c r="A7" s="1" t="s">
        <v>92</v>
      </c>
      <c r="B7" s="1"/>
      <c r="C7" s="1"/>
      <c r="D7" s="1"/>
      <c r="E7" s="1"/>
      <c r="F7" s="1"/>
      <c r="G7" s="1"/>
      <c r="H7" s="1"/>
      <c r="I7" s="1"/>
      <c r="J7" s="1"/>
      <c r="K7" s="1"/>
    </row>
    <row r="8" spans="1:11" ht="16.2" thickBot="1" x14ac:dyDescent="0.35">
      <c r="B8" s="1"/>
      <c r="C8" s="1"/>
      <c r="D8" s="1"/>
      <c r="E8" s="1"/>
      <c r="F8" s="1"/>
      <c r="G8" s="1"/>
      <c r="H8" s="1"/>
      <c r="I8" s="1"/>
      <c r="J8" s="1"/>
      <c r="K8" s="1"/>
    </row>
    <row r="9" spans="1:11" ht="16.2" thickBot="1" x14ac:dyDescent="0.35">
      <c r="A9" s="2" t="s">
        <v>0</v>
      </c>
      <c r="B9" s="3"/>
      <c r="C9" s="3"/>
      <c r="D9" s="3"/>
      <c r="E9" s="3"/>
      <c r="F9" s="3"/>
      <c r="G9" s="3"/>
      <c r="H9" s="3"/>
      <c r="I9" s="25"/>
      <c r="J9" s="1"/>
      <c r="K9" s="1"/>
    </row>
    <row r="10" spans="1:11" ht="15.6" x14ac:dyDescent="0.3">
      <c r="A10" s="1" t="s">
        <v>25</v>
      </c>
      <c r="B10" s="1"/>
      <c r="C10" s="1"/>
      <c r="D10" s="1"/>
      <c r="E10" s="1"/>
      <c r="F10" s="1"/>
      <c r="G10" s="1"/>
      <c r="H10" s="1"/>
      <c r="I10" s="1"/>
      <c r="J10" s="1"/>
      <c r="K10" s="1"/>
    </row>
    <row r="11" spans="1:11" ht="15.6" x14ac:dyDescent="0.3">
      <c r="A11" s="1"/>
      <c r="B11" s="1"/>
      <c r="C11" s="1"/>
      <c r="D11" s="1"/>
      <c r="E11" s="1"/>
      <c r="F11" s="1"/>
      <c r="G11" s="1"/>
      <c r="H11" s="1"/>
      <c r="I11" s="1"/>
      <c r="J11" s="1"/>
      <c r="K11" s="1"/>
    </row>
    <row r="12" spans="1:11" ht="46.95" customHeight="1" x14ac:dyDescent="0.3">
      <c r="A12" s="9" t="s">
        <v>165</v>
      </c>
      <c r="B12" s="64" t="s">
        <v>2</v>
      </c>
      <c r="C12" s="64" t="s">
        <v>6</v>
      </c>
      <c r="D12" s="64" t="s">
        <v>7</v>
      </c>
      <c r="E12" s="64" t="s">
        <v>124</v>
      </c>
      <c r="F12" s="64" t="s">
        <v>158</v>
      </c>
      <c r="G12" s="64"/>
      <c r="H12" s="10" t="s">
        <v>10</v>
      </c>
      <c r="I12" s="10" t="s">
        <v>11</v>
      </c>
    </row>
    <row r="13" spans="1:11" ht="123.75" customHeight="1" x14ac:dyDescent="0.3">
      <c r="A13" s="9" t="s">
        <v>98</v>
      </c>
      <c r="B13" s="65" t="s">
        <v>85</v>
      </c>
      <c r="C13" s="66" t="s">
        <v>162</v>
      </c>
      <c r="D13" s="66" t="s">
        <v>161</v>
      </c>
      <c r="E13" s="66" t="s">
        <v>29</v>
      </c>
      <c r="F13" s="72"/>
      <c r="G13" s="72"/>
      <c r="H13" s="58"/>
      <c r="I13" s="10"/>
    </row>
    <row r="14" spans="1:11" ht="145.94999999999999" customHeight="1" x14ac:dyDescent="0.3">
      <c r="A14" s="9" t="s">
        <v>28</v>
      </c>
      <c r="B14" s="65" t="s">
        <v>1</v>
      </c>
      <c r="C14" s="66" t="s">
        <v>99</v>
      </c>
      <c r="D14" s="66" t="s">
        <v>30</v>
      </c>
      <c r="E14" s="66" t="s">
        <v>100</v>
      </c>
      <c r="F14" s="72"/>
      <c r="G14" s="72"/>
      <c r="H14" s="58"/>
      <c r="I14" s="10"/>
    </row>
    <row r="15" spans="1:11" ht="145.94999999999999" customHeight="1" x14ac:dyDescent="0.3">
      <c r="A15" s="9" t="s">
        <v>83</v>
      </c>
      <c r="B15" s="65" t="s">
        <v>1</v>
      </c>
      <c r="C15" s="66" t="s">
        <v>103</v>
      </c>
      <c r="D15" s="66" t="s">
        <v>101</v>
      </c>
      <c r="E15" s="66" t="s">
        <v>102</v>
      </c>
      <c r="F15" s="66" t="s">
        <v>104</v>
      </c>
      <c r="G15" s="72"/>
      <c r="H15" s="58"/>
      <c r="I15" s="10"/>
    </row>
    <row r="16" spans="1:11" ht="145.94999999999999" customHeight="1" x14ac:dyDescent="0.3">
      <c r="A16" s="9" t="s">
        <v>84</v>
      </c>
      <c r="B16" s="65" t="s">
        <v>1</v>
      </c>
      <c r="C16" s="66" t="s">
        <v>105</v>
      </c>
      <c r="D16" s="66" t="s">
        <v>106</v>
      </c>
      <c r="E16" s="66" t="s">
        <v>87</v>
      </c>
      <c r="F16" s="66" t="s">
        <v>86</v>
      </c>
      <c r="G16" s="72"/>
      <c r="H16" s="58"/>
      <c r="I16" s="10"/>
    </row>
    <row r="17" spans="1:9" ht="145.94999999999999" customHeight="1" x14ac:dyDescent="0.3">
      <c r="A17" s="9" t="s">
        <v>89</v>
      </c>
      <c r="B17" s="65" t="s">
        <v>1</v>
      </c>
      <c r="C17" s="66" t="s">
        <v>88</v>
      </c>
      <c r="D17" s="66" t="s">
        <v>107</v>
      </c>
      <c r="E17" s="66" t="s">
        <v>108</v>
      </c>
      <c r="F17" s="66" t="s">
        <v>109</v>
      </c>
      <c r="G17" s="72"/>
      <c r="H17" s="58"/>
      <c r="I17" s="10"/>
    </row>
    <row r="18" spans="1:9" ht="145.94999999999999" customHeight="1" x14ac:dyDescent="0.3">
      <c r="A18" s="9" t="s">
        <v>31</v>
      </c>
      <c r="B18" s="65" t="s">
        <v>32</v>
      </c>
      <c r="C18" s="66" t="s">
        <v>110</v>
      </c>
      <c r="D18" s="66" t="s">
        <v>33</v>
      </c>
      <c r="E18" s="66" t="s">
        <v>34</v>
      </c>
      <c r="F18" s="72"/>
      <c r="G18" s="72"/>
      <c r="H18" s="58"/>
      <c r="I18" s="10"/>
    </row>
    <row r="19" spans="1:9" ht="74.25" customHeight="1" x14ac:dyDescent="0.3">
      <c r="A19" s="4" t="s">
        <v>35</v>
      </c>
      <c r="B19" s="5"/>
      <c r="C19" s="6"/>
      <c r="D19" s="7"/>
      <c r="E19" s="7"/>
      <c r="F19" s="8"/>
      <c r="G19" s="8"/>
      <c r="H19" s="59">
        <f>SUM(H13:H18)</f>
        <v>0</v>
      </c>
      <c r="I19" s="7"/>
    </row>
    <row r="20" spans="1:9" ht="46.8" x14ac:dyDescent="0.3">
      <c r="A20" s="13" t="s">
        <v>125</v>
      </c>
      <c r="B20" s="14" t="s">
        <v>126</v>
      </c>
      <c r="C20" s="14" t="s">
        <v>6</v>
      </c>
      <c r="D20" s="14" t="s">
        <v>7</v>
      </c>
      <c r="E20" s="14" t="s">
        <v>8</v>
      </c>
      <c r="F20" s="14" t="s">
        <v>9</v>
      </c>
      <c r="G20" s="14" t="s">
        <v>27</v>
      </c>
      <c r="H20" s="14" t="s">
        <v>10</v>
      </c>
      <c r="I20" s="14" t="s">
        <v>11</v>
      </c>
    </row>
    <row r="21" spans="1:9" ht="189" customHeight="1" x14ac:dyDescent="0.3">
      <c r="A21" s="73" t="s">
        <v>36</v>
      </c>
      <c r="B21" s="67" t="s">
        <v>145</v>
      </c>
      <c r="C21" s="68" t="s">
        <v>144</v>
      </c>
      <c r="D21" s="72"/>
      <c r="E21" s="72"/>
      <c r="F21" s="72"/>
      <c r="G21" s="75"/>
      <c r="H21" s="56"/>
      <c r="I21" s="14"/>
    </row>
    <row r="22" spans="1:9" ht="169.2" customHeight="1" x14ac:dyDescent="0.3">
      <c r="A22" s="73" t="s">
        <v>130</v>
      </c>
      <c r="B22" s="67" t="s">
        <v>1</v>
      </c>
      <c r="C22" s="68" t="s">
        <v>127</v>
      </c>
      <c r="D22" s="68" t="s">
        <v>128</v>
      </c>
      <c r="E22" s="68" t="s">
        <v>129</v>
      </c>
      <c r="F22" s="76"/>
      <c r="G22" s="76"/>
      <c r="H22" s="56"/>
      <c r="I22" s="14"/>
    </row>
    <row r="23" spans="1:9" ht="130.94999999999999" customHeight="1" x14ac:dyDescent="0.3">
      <c r="A23" s="73" t="s">
        <v>37</v>
      </c>
      <c r="B23" s="67" t="s">
        <v>146</v>
      </c>
      <c r="C23" s="15" t="s">
        <v>123</v>
      </c>
      <c r="D23" s="76"/>
      <c r="E23" s="76"/>
      <c r="F23" s="75"/>
      <c r="G23" s="75"/>
      <c r="H23" s="56"/>
      <c r="I23" s="14"/>
    </row>
    <row r="24" spans="1:9" ht="85.2" customHeight="1" x14ac:dyDescent="0.3">
      <c r="A24" s="16" t="s">
        <v>38</v>
      </c>
      <c r="B24" s="17"/>
      <c r="C24" s="17"/>
      <c r="D24" s="17"/>
      <c r="E24" s="17"/>
      <c r="F24" s="17"/>
      <c r="G24" s="17"/>
      <c r="H24" s="57">
        <f>SUM(H21:H23)</f>
        <v>0</v>
      </c>
      <c r="I24" s="60"/>
    </row>
    <row r="25" spans="1:9" ht="46.05" customHeight="1" x14ac:dyDescent="0.3">
      <c r="A25" s="18" t="s">
        <v>131</v>
      </c>
      <c r="B25" s="19" t="s">
        <v>126</v>
      </c>
      <c r="C25" s="20" t="s">
        <v>6</v>
      </c>
      <c r="D25" s="20" t="s">
        <v>7</v>
      </c>
      <c r="E25" s="20" t="s">
        <v>8</v>
      </c>
      <c r="F25" s="20" t="s">
        <v>9</v>
      </c>
      <c r="G25" s="20" t="s">
        <v>27</v>
      </c>
      <c r="H25" s="19" t="s">
        <v>10</v>
      </c>
      <c r="I25" s="19" t="s">
        <v>11</v>
      </c>
    </row>
    <row r="26" spans="1:9" ht="186.45" customHeight="1" x14ac:dyDescent="0.3">
      <c r="A26" s="74" t="s">
        <v>93</v>
      </c>
      <c r="B26" s="21" t="s">
        <v>133</v>
      </c>
      <c r="C26" s="22" t="s">
        <v>41</v>
      </c>
      <c r="D26" s="78"/>
      <c r="E26" s="78"/>
      <c r="F26" s="77"/>
      <c r="G26" s="78"/>
      <c r="H26" s="50"/>
      <c r="I26" s="19"/>
    </row>
    <row r="27" spans="1:9" ht="165.45" customHeight="1" x14ac:dyDescent="0.3">
      <c r="A27" s="74" t="s">
        <v>40</v>
      </c>
      <c r="B27" s="69" t="s">
        <v>132</v>
      </c>
      <c r="C27" s="22" t="s">
        <v>43</v>
      </c>
      <c r="D27" s="22" t="s">
        <v>111</v>
      </c>
      <c r="E27" s="22" t="s">
        <v>42</v>
      </c>
      <c r="F27" s="78"/>
      <c r="G27" s="79"/>
      <c r="H27" s="50"/>
      <c r="I27" s="19"/>
    </row>
    <row r="28" spans="1:9" ht="154.5" customHeight="1" x14ac:dyDescent="0.3">
      <c r="A28" s="74" t="s">
        <v>31</v>
      </c>
      <c r="B28" s="69" t="s">
        <v>148</v>
      </c>
      <c r="C28" s="22" t="s">
        <v>147</v>
      </c>
      <c r="D28" s="78"/>
      <c r="E28" s="78"/>
      <c r="F28" s="78"/>
      <c r="G28" s="79"/>
      <c r="H28" s="50"/>
      <c r="I28" s="19"/>
    </row>
    <row r="29" spans="1:9" ht="54.75" customHeight="1" x14ac:dyDescent="0.3">
      <c r="A29" s="23" t="s">
        <v>39</v>
      </c>
      <c r="B29" s="24"/>
      <c r="C29" s="24"/>
      <c r="D29" s="24"/>
      <c r="E29" s="24"/>
      <c r="F29" s="24"/>
      <c r="G29" s="24"/>
      <c r="H29" s="51">
        <f>SUM(H26:H28)</f>
        <v>0</v>
      </c>
      <c r="I29" s="61"/>
    </row>
    <row r="30" spans="1:9" ht="31.2" x14ac:dyDescent="0.3">
      <c r="A30" s="26" t="s">
        <v>44</v>
      </c>
      <c r="B30" s="27" t="s">
        <v>2</v>
      </c>
      <c r="C30" s="28" t="s">
        <v>6</v>
      </c>
      <c r="D30" s="28" t="s">
        <v>7</v>
      </c>
      <c r="E30" s="28" t="s">
        <v>8</v>
      </c>
      <c r="F30" s="28" t="s">
        <v>9</v>
      </c>
      <c r="G30" s="28" t="s">
        <v>27</v>
      </c>
      <c r="H30" s="36" t="s">
        <v>10</v>
      </c>
      <c r="I30" s="36" t="s">
        <v>11</v>
      </c>
    </row>
    <row r="31" spans="1:9" ht="156.75" customHeight="1" x14ac:dyDescent="0.3">
      <c r="A31" s="80" t="s">
        <v>45</v>
      </c>
      <c r="B31" s="70" t="s">
        <v>1</v>
      </c>
      <c r="C31" s="71" t="s">
        <v>50</v>
      </c>
      <c r="D31" s="71" t="s">
        <v>49</v>
      </c>
      <c r="E31" s="71" t="s">
        <v>48</v>
      </c>
      <c r="F31" s="29" t="s">
        <v>47</v>
      </c>
      <c r="G31" s="29" t="s">
        <v>46</v>
      </c>
      <c r="H31" s="55"/>
      <c r="I31" s="29"/>
    </row>
    <row r="32" spans="1:9" ht="115.5" customHeight="1" x14ac:dyDescent="0.3">
      <c r="A32" s="80" t="s">
        <v>54</v>
      </c>
      <c r="B32" s="70" t="s">
        <v>1</v>
      </c>
      <c r="C32" s="71" t="s">
        <v>53</v>
      </c>
      <c r="D32" s="71" t="s">
        <v>52</v>
      </c>
      <c r="E32" s="71" t="s">
        <v>48</v>
      </c>
      <c r="F32" s="29" t="s">
        <v>47</v>
      </c>
      <c r="G32" s="29" t="s">
        <v>51</v>
      </c>
      <c r="H32" s="55"/>
      <c r="I32" s="29"/>
    </row>
    <row r="33" spans="1:9" ht="65.7" customHeight="1" x14ac:dyDescent="0.3">
      <c r="A33" s="31" t="s">
        <v>12</v>
      </c>
      <c r="B33" s="32"/>
      <c r="C33" s="32"/>
      <c r="D33" s="33"/>
      <c r="E33" s="33"/>
      <c r="F33" s="33"/>
      <c r="G33" s="33"/>
      <c r="H33" s="53">
        <f>SUM(H31:H32)</f>
        <v>0</v>
      </c>
      <c r="I33" s="62"/>
    </row>
    <row r="34" spans="1:9" ht="49.5" customHeight="1" x14ac:dyDescent="0.3">
      <c r="A34" s="37" t="s">
        <v>3</v>
      </c>
      <c r="B34" s="10" t="s">
        <v>2</v>
      </c>
      <c r="C34" s="10" t="s">
        <v>6</v>
      </c>
      <c r="D34" s="10" t="s">
        <v>7</v>
      </c>
      <c r="E34" s="10" t="s">
        <v>8</v>
      </c>
      <c r="F34" s="10" t="s">
        <v>9</v>
      </c>
      <c r="G34" s="10" t="s">
        <v>27</v>
      </c>
      <c r="H34" s="10" t="s">
        <v>10</v>
      </c>
      <c r="I34" s="10" t="s">
        <v>11</v>
      </c>
    </row>
    <row r="35" spans="1:9" ht="162" customHeight="1" x14ac:dyDescent="0.3">
      <c r="A35" s="37" t="s">
        <v>55</v>
      </c>
      <c r="B35" s="11" t="s">
        <v>20</v>
      </c>
      <c r="C35" s="12" t="s">
        <v>16</v>
      </c>
      <c r="D35" s="12" t="s">
        <v>15</v>
      </c>
      <c r="E35" s="12" t="s">
        <v>21</v>
      </c>
      <c r="F35" s="75"/>
      <c r="G35" s="75"/>
      <c r="H35" s="48"/>
      <c r="I35" s="11"/>
    </row>
    <row r="36" spans="1:9" ht="145.5" customHeight="1" x14ac:dyDescent="0.3">
      <c r="A36" s="37" t="s">
        <v>13</v>
      </c>
      <c r="B36" s="11" t="s">
        <v>1</v>
      </c>
      <c r="C36" s="12" t="s">
        <v>22</v>
      </c>
      <c r="D36" s="12" t="s">
        <v>23</v>
      </c>
      <c r="E36" s="12" t="s">
        <v>24</v>
      </c>
      <c r="F36" s="75"/>
      <c r="G36" s="75"/>
      <c r="H36" s="48"/>
      <c r="I36" s="11"/>
    </row>
    <row r="37" spans="1:9" ht="121.2" customHeight="1" x14ac:dyDescent="0.3">
      <c r="A37" s="37" t="s">
        <v>14</v>
      </c>
      <c r="B37" s="65" t="s">
        <v>1</v>
      </c>
      <c r="C37" s="12" t="s">
        <v>94</v>
      </c>
      <c r="D37" s="12" t="s">
        <v>95</v>
      </c>
      <c r="E37" s="12" t="s">
        <v>96</v>
      </c>
      <c r="F37" s="12" t="s">
        <v>97</v>
      </c>
      <c r="G37" s="75"/>
      <c r="H37" s="48"/>
      <c r="I37" s="11"/>
    </row>
    <row r="38" spans="1:9" ht="52.95" customHeight="1" x14ac:dyDescent="0.3">
      <c r="A38" s="37" t="s">
        <v>156</v>
      </c>
      <c r="B38" s="10" t="s">
        <v>2</v>
      </c>
      <c r="C38" s="10" t="s">
        <v>157</v>
      </c>
      <c r="D38" s="10" t="s">
        <v>124</v>
      </c>
      <c r="E38" s="10" t="s">
        <v>158</v>
      </c>
      <c r="F38" s="10" t="s">
        <v>159</v>
      </c>
      <c r="G38" s="10" t="s">
        <v>160</v>
      </c>
      <c r="H38" s="48"/>
      <c r="I38" s="11"/>
    </row>
    <row r="39" spans="1:9" ht="121.2" customHeight="1" x14ac:dyDescent="0.3">
      <c r="A39" s="37" t="s">
        <v>150</v>
      </c>
      <c r="B39" s="65" t="s">
        <v>1</v>
      </c>
      <c r="C39" s="12" t="s">
        <v>155</v>
      </c>
      <c r="D39" s="12" t="s">
        <v>152</v>
      </c>
      <c r="E39" s="12" t="s">
        <v>154</v>
      </c>
      <c r="F39" s="12" t="s">
        <v>153</v>
      </c>
      <c r="G39" s="12" t="s">
        <v>151</v>
      </c>
      <c r="H39" s="48"/>
      <c r="I39" s="11"/>
    </row>
    <row r="40" spans="1:9" ht="15.6" x14ac:dyDescent="0.3">
      <c r="A40" s="38" t="s">
        <v>149</v>
      </c>
      <c r="B40" s="39"/>
      <c r="C40" s="39"/>
      <c r="D40" s="39"/>
      <c r="E40" s="39"/>
      <c r="F40" s="40"/>
      <c r="G40" s="40"/>
      <c r="H40" s="49">
        <f>SUM(H35:H39)</f>
        <v>0</v>
      </c>
      <c r="I40" s="63"/>
    </row>
    <row r="41" spans="1:9" ht="15.6" x14ac:dyDescent="0.3">
      <c r="A41" s="84" t="s">
        <v>81</v>
      </c>
      <c r="B41" s="85"/>
      <c r="C41" s="85"/>
      <c r="D41" s="85"/>
      <c r="E41" s="85"/>
      <c r="F41" s="85"/>
      <c r="G41" s="85"/>
      <c r="H41" s="86">
        <f>SUM(H40,H33,H29,H24,H19)</f>
        <v>0</v>
      </c>
      <c r="I41" s="87"/>
    </row>
    <row r="42" spans="1:9" x14ac:dyDescent="0.3">
      <c r="H42" s="35"/>
      <c r="I42" s="35"/>
    </row>
    <row r="43" spans="1:9" ht="15.6" x14ac:dyDescent="0.3">
      <c r="A43" s="1" t="s">
        <v>26</v>
      </c>
      <c r="H43" s="34"/>
      <c r="I43" s="34"/>
    </row>
    <row r="44" spans="1:9" ht="17.25" customHeight="1" x14ac:dyDescent="0.3">
      <c r="H44" s="35"/>
      <c r="I44" s="35"/>
    </row>
    <row r="45" spans="1:9" ht="62.4" x14ac:dyDescent="0.3">
      <c r="A45" s="37" t="s">
        <v>164</v>
      </c>
      <c r="B45" s="10" t="s">
        <v>142</v>
      </c>
      <c r="C45" s="10" t="s">
        <v>6</v>
      </c>
      <c r="D45" s="10" t="s">
        <v>7</v>
      </c>
      <c r="E45" s="10" t="s">
        <v>8</v>
      </c>
      <c r="F45" s="10" t="s">
        <v>9</v>
      </c>
      <c r="G45" s="10" t="s">
        <v>27</v>
      </c>
      <c r="H45" s="10" t="s">
        <v>10</v>
      </c>
      <c r="I45" s="10" t="s">
        <v>11</v>
      </c>
    </row>
    <row r="46" spans="1:9" ht="189.45" customHeight="1" x14ac:dyDescent="0.3">
      <c r="A46" s="37" t="s">
        <v>135</v>
      </c>
      <c r="B46" s="11" t="s">
        <v>141</v>
      </c>
      <c r="C46" s="12" t="s">
        <v>137</v>
      </c>
      <c r="D46" s="12" t="s">
        <v>138</v>
      </c>
      <c r="E46" s="12" t="s">
        <v>139</v>
      </c>
      <c r="F46" s="12" t="s">
        <v>140</v>
      </c>
      <c r="G46" s="90" t="s">
        <v>136</v>
      </c>
      <c r="H46" s="48"/>
      <c r="I46" s="11"/>
    </row>
    <row r="47" spans="1:9" ht="15.6" x14ac:dyDescent="0.3">
      <c r="A47" s="38" t="s">
        <v>17</v>
      </c>
      <c r="B47" s="39"/>
      <c r="C47" s="39"/>
      <c r="D47" s="39"/>
      <c r="E47" s="39"/>
      <c r="F47" s="40"/>
      <c r="G47" s="40"/>
      <c r="H47" s="49">
        <f>SUM(H46:H46)</f>
        <v>0</v>
      </c>
      <c r="I47" s="63"/>
    </row>
    <row r="48" spans="1:9" ht="31.2" x14ac:dyDescent="0.3">
      <c r="A48" s="41" t="s">
        <v>59</v>
      </c>
      <c r="B48" s="20" t="s">
        <v>2</v>
      </c>
      <c r="C48" s="20" t="s">
        <v>6</v>
      </c>
      <c r="D48" s="20" t="s">
        <v>7</v>
      </c>
      <c r="E48" s="20" t="s">
        <v>8</v>
      </c>
      <c r="F48" s="20" t="s">
        <v>9</v>
      </c>
      <c r="G48" s="20" t="s">
        <v>27</v>
      </c>
      <c r="H48" s="20" t="s">
        <v>10</v>
      </c>
      <c r="I48" s="20" t="s">
        <v>11</v>
      </c>
    </row>
    <row r="49" spans="1:9" ht="72" x14ac:dyDescent="0.3">
      <c r="A49" s="74" t="s">
        <v>57</v>
      </c>
      <c r="B49" s="69" t="s">
        <v>1</v>
      </c>
      <c r="C49" s="69" t="s">
        <v>118</v>
      </c>
      <c r="D49" s="22" t="s">
        <v>119</v>
      </c>
      <c r="E49" s="22" t="s">
        <v>120</v>
      </c>
      <c r="F49" s="22" t="s">
        <v>121</v>
      </c>
      <c r="G49" s="22" t="s">
        <v>122</v>
      </c>
      <c r="H49" s="20"/>
      <c r="I49" s="20"/>
    </row>
    <row r="50" spans="1:9" ht="116.7" customHeight="1" x14ac:dyDescent="0.3">
      <c r="A50" s="74" t="s">
        <v>112</v>
      </c>
      <c r="B50" s="69" t="s">
        <v>1</v>
      </c>
      <c r="C50" s="69" t="s">
        <v>113</v>
      </c>
      <c r="D50" s="69" t="s">
        <v>114</v>
      </c>
      <c r="E50" s="69" t="s">
        <v>115</v>
      </c>
      <c r="F50" s="69" t="s">
        <v>117</v>
      </c>
      <c r="G50" s="69" t="s">
        <v>116</v>
      </c>
      <c r="H50" s="50"/>
      <c r="I50" s="20"/>
    </row>
    <row r="51" spans="1:9" ht="31.2" x14ac:dyDescent="0.3">
      <c r="A51" s="23" t="s">
        <v>58</v>
      </c>
      <c r="B51" s="24"/>
      <c r="C51" s="24"/>
      <c r="D51" s="24"/>
      <c r="E51" s="24"/>
      <c r="F51" s="24"/>
      <c r="G51" s="24"/>
      <c r="H51" s="51">
        <f>SUM(H49:H50)</f>
        <v>0</v>
      </c>
      <c r="I51" s="61"/>
    </row>
    <row r="52" spans="1:9" ht="31.2" x14ac:dyDescent="0.3">
      <c r="A52" s="42" t="s">
        <v>134</v>
      </c>
      <c r="B52" s="28" t="s">
        <v>2</v>
      </c>
      <c r="C52" s="28" t="s">
        <v>18</v>
      </c>
      <c r="D52" s="28" t="s">
        <v>7</v>
      </c>
      <c r="E52" s="28" t="s">
        <v>8</v>
      </c>
      <c r="F52" s="28" t="s">
        <v>9</v>
      </c>
      <c r="G52" s="28" t="s">
        <v>27</v>
      </c>
      <c r="H52" s="28" t="s">
        <v>10</v>
      </c>
      <c r="I52" s="28" t="s">
        <v>11</v>
      </c>
    </row>
    <row r="53" spans="1:9" ht="72" x14ac:dyDescent="0.3">
      <c r="A53" s="42" t="s">
        <v>143</v>
      </c>
      <c r="B53" s="30" t="s">
        <v>1</v>
      </c>
      <c r="C53" s="30" t="s">
        <v>61</v>
      </c>
      <c r="D53" s="30" t="s">
        <v>62</v>
      </c>
      <c r="E53" s="30" t="s">
        <v>63</v>
      </c>
      <c r="F53" s="30" t="s">
        <v>64</v>
      </c>
      <c r="G53" s="30" t="s">
        <v>65</v>
      </c>
      <c r="H53" s="52"/>
      <c r="I53" s="43"/>
    </row>
    <row r="54" spans="1:9" ht="15.6" x14ac:dyDescent="0.3">
      <c r="A54" s="44" t="s">
        <v>60</v>
      </c>
      <c r="B54" s="45"/>
      <c r="C54" s="45"/>
      <c r="D54" s="45"/>
      <c r="E54" s="45"/>
      <c r="F54" s="45"/>
      <c r="G54" s="45"/>
      <c r="H54" s="53">
        <f>SUM(H53:H53)</f>
        <v>0</v>
      </c>
      <c r="I54" s="62"/>
    </row>
    <row r="55" spans="1:9" ht="15.6" x14ac:dyDescent="0.3">
      <c r="A55" s="44"/>
      <c r="B55" s="45"/>
      <c r="C55" s="45"/>
      <c r="D55" s="45"/>
      <c r="E55" s="45"/>
      <c r="F55" s="45"/>
      <c r="G55" s="45"/>
      <c r="H55" s="53"/>
      <c r="I55" s="62"/>
    </row>
    <row r="56" spans="1:9" ht="31.2" x14ac:dyDescent="0.3">
      <c r="A56" s="42" t="s">
        <v>56</v>
      </c>
      <c r="B56" s="28" t="s">
        <v>2</v>
      </c>
      <c r="C56" s="28" t="s">
        <v>18</v>
      </c>
      <c r="D56" s="28" t="s">
        <v>7</v>
      </c>
      <c r="E56" s="28" t="s">
        <v>8</v>
      </c>
      <c r="F56" s="28" t="s">
        <v>9</v>
      </c>
      <c r="G56" s="28" t="s">
        <v>27</v>
      </c>
      <c r="H56" s="28" t="s">
        <v>10</v>
      </c>
      <c r="I56" s="28" t="s">
        <v>11</v>
      </c>
    </row>
    <row r="57" spans="1:9" ht="86.4" x14ac:dyDescent="0.3">
      <c r="A57" s="42" t="s">
        <v>66</v>
      </c>
      <c r="B57" s="30" t="s">
        <v>1</v>
      </c>
      <c r="C57" s="30" t="s">
        <v>69</v>
      </c>
      <c r="D57" s="30" t="s">
        <v>73</v>
      </c>
      <c r="E57" s="30" t="s">
        <v>72</v>
      </c>
      <c r="F57" s="30" t="s">
        <v>71</v>
      </c>
      <c r="G57" s="30" t="s">
        <v>70</v>
      </c>
      <c r="H57" s="52"/>
      <c r="I57" s="43"/>
    </row>
    <row r="58" spans="1:9" ht="86.4" x14ac:dyDescent="0.3">
      <c r="A58" s="42" t="s">
        <v>67</v>
      </c>
      <c r="B58" s="70" t="s">
        <v>1</v>
      </c>
      <c r="C58" s="30" t="s">
        <v>74</v>
      </c>
      <c r="D58" s="30" t="s">
        <v>75</v>
      </c>
      <c r="E58" s="30" t="s">
        <v>76</v>
      </c>
      <c r="F58" s="30" t="s">
        <v>77</v>
      </c>
      <c r="G58" s="30" t="s">
        <v>78</v>
      </c>
      <c r="H58" s="52"/>
      <c r="I58" s="43"/>
    </row>
    <row r="59" spans="1:9" ht="15.6" x14ac:dyDescent="0.3">
      <c r="A59" s="44" t="s">
        <v>68</v>
      </c>
      <c r="B59" s="45"/>
      <c r="C59" s="45"/>
      <c r="D59" s="45"/>
      <c r="E59" s="45"/>
      <c r="F59" s="45"/>
      <c r="G59" s="45"/>
      <c r="H59" s="53">
        <f>SUM(H57:H58)</f>
        <v>0</v>
      </c>
      <c r="I59" s="62"/>
    </row>
    <row r="60" spans="1:9" ht="46.5" customHeight="1" x14ac:dyDescent="0.3">
      <c r="A60" s="88" t="s">
        <v>82</v>
      </c>
      <c r="B60" s="77"/>
      <c r="C60" s="77"/>
      <c r="D60" s="77"/>
      <c r="E60" s="77"/>
      <c r="F60" s="77"/>
      <c r="G60" s="77"/>
      <c r="H60" s="89">
        <f>SUM(H59,H54,H51,H47)</f>
        <v>0</v>
      </c>
      <c r="I60" s="76"/>
    </row>
    <row r="61" spans="1:9" ht="15.6" x14ac:dyDescent="0.3">
      <c r="A61" s="81"/>
      <c r="B61" s="34"/>
      <c r="C61" s="34"/>
      <c r="D61" s="34"/>
      <c r="E61" s="34"/>
      <c r="F61" s="34"/>
      <c r="G61" s="34"/>
      <c r="H61" s="82"/>
      <c r="I61" s="83"/>
    </row>
    <row r="62" spans="1:9" ht="15.6" x14ac:dyDescent="0.3">
      <c r="A62" s="81"/>
      <c r="B62" s="34"/>
      <c r="C62" s="34"/>
      <c r="D62" s="34"/>
      <c r="E62" s="34"/>
      <c r="F62" s="34"/>
      <c r="G62" s="34"/>
      <c r="H62" s="82"/>
      <c r="I62" s="83"/>
    </row>
    <row r="63" spans="1:9" ht="15.6" x14ac:dyDescent="0.3">
      <c r="A63" s="81"/>
      <c r="B63" s="34"/>
      <c r="C63" s="34"/>
      <c r="D63" s="34"/>
      <c r="E63" s="34"/>
      <c r="F63" s="34"/>
      <c r="G63" s="34"/>
      <c r="H63" s="82"/>
      <c r="I63" s="83"/>
    </row>
    <row r="64" spans="1:9" ht="15.6" x14ac:dyDescent="0.3">
      <c r="A64" s="81"/>
      <c r="B64" s="34"/>
      <c r="C64" s="34"/>
      <c r="D64" s="34"/>
      <c r="E64" s="34"/>
      <c r="F64" s="34"/>
      <c r="G64" s="34"/>
      <c r="H64" s="82"/>
      <c r="I64" s="83"/>
    </row>
    <row r="65" spans="1:9" ht="15.6" x14ac:dyDescent="0.3">
      <c r="A65" s="81"/>
      <c r="B65" s="34"/>
      <c r="C65" s="34"/>
      <c r="D65" s="34"/>
      <c r="E65" s="34"/>
      <c r="F65" s="34"/>
      <c r="G65" s="34"/>
      <c r="H65" s="82"/>
      <c r="I65" s="83"/>
    </row>
    <row r="66" spans="1:9" ht="15.6" x14ac:dyDescent="0.3">
      <c r="A66" s="81"/>
      <c r="B66" s="34"/>
      <c r="C66" s="34"/>
      <c r="D66" s="34"/>
      <c r="E66" s="34"/>
      <c r="F66" s="34"/>
      <c r="G66" s="34"/>
      <c r="H66" s="82"/>
      <c r="I66" s="83"/>
    </row>
    <row r="69" spans="1:9" ht="63" x14ac:dyDescent="0.4">
      <c r="H69" s="46" t="s">
        <v>80</v>
      </c>
      <c r="I69" s="46" t="s">
        <v>19</v>
      </c>
    </row>
    <row r="70" spans="1:9" ht="138.75" customHeight="1" x14ac:dyDescent="0.3">
      <c r="H70" s="54">
        <f>SUM(H60,H41)</f>
        <v>0</v>
      </c>
      <c r="I70" s="47"/>
    </row>
  </sheetData>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Marking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Aleka Psarrou</dc:creator>
  <cp:lastModifiedBy>Afreen Mohsin</cp:lastModifiedBy>
  <cp:lastPrinted>2021-01-03T00:01:39Z</cp:lastPrinted>
  <dcterms:created xsi:type="dcterms:W3CDTF">2021-01-02T18:51:00Z</dcterms:created>
  <dcterms:modified xsi:type="dcterms:W3CDTF">2026-01-27T06:34:47Z</dcterms:modified>
</cp:coreProperties>
</file>